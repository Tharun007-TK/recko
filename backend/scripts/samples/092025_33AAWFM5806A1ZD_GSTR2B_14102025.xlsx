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FF169BAD-F7AE-431A-A54F-41D02B592796}" xr6:coauthVersionLast="47" xr6:coauthVersionMax="47" xr10:uidLastSave="{00000000-0000-0000-0000-000000000000}"/>
  <bookViews>
    <workbookView xWindow="-120" yWindow="-120" windowWidth="15600" windowHeight="11040" tabRatio="883" firstSheet="3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SEZ" sheetId="15" r:id="rId15"/>
    <sheet name="B2B (ITC Reversal)" sheetId="16" r:id="rId16"/>
    <sheet name="B2BA (ITC Reversal)" sheetId="17" r:id="rId17"/>
    <sheet name="B2B-DNR" sheetId="18" r:id="rId18"/>
    <sheet name="B2B-DNRA" sheetId="19" r:id="rId19"/>
    <sheet name="B2B(Rejected)" sheetId="20" r:id="rId20"/>
    <sheet name="B2BA(Rejected)" sheetId="21" r:id="rId21"/>
    <sheet name="B2B-CDNR(Rejected)" sheetId="22" r:id="rId22"/>
    <sheet name="B2B-CDNRA(Rejected)" sheetId="23" r:id="rId23"/>
    <sheet name="ECO(Rejected)" sheetId="24" r:id="rId24"/>
    <sheet name="ECOA(Rejected)" sheetId="25" r:id="rId25"/>
    <sheet name="ISD(Rejected)" sheetId="26" r:id="rId26"/>
    <sheet name="ISDA(Rejected)" sheetId="27" r:id="rId27"/>
  </sheets>
  <definedNames>
    <definedName name="_xlnm._FilterDatabase" localSheetId="5" hidden="1">B2B!$A$3:$U$194</definedName>
    <definedName name="_xlnm._FilterDatabase" localSheetId="7" hidden="1">'B2B-CDNR'!$A$3:$AA$36</definedName>
  </definedNames>
  <calcPr calcId="191029"/>
</workbook>
</file>

<file path=xl/calcChain.xml><?xml version="1.0" encoding="utf-8"?>
<calcChain xmlns="http://schemas.openxmlformats.org/spreadsheetml/2006/main">
  <c r="L200" i="6" l="1"/>
  <c r="K200" i="6"/>
  <c r="J200" i="6"/>
  <c r="K199" i="6"/>
  <c r="J199" i="6"/>
  <c r="L199" i="6" l="1"/>
  <c r="L198" i="6" s="1"/>
  <c r="K198" i="6"/>
  <c r="J198" i="6"/>
  <c r="M36" i="8"/>
  <c r="L36" i="8"/>
  <c r="K36" i="8"/>
  <c r="J36" i="8"/>
  <c r="M194" i="6"/>
  <c r="L194" i="6"/>
  <c r="L197" i="6" s="1"/>
  <c r="L202" i="6" s="1"/>
  <c r="K194" i="6"/>
  <c r="K197" i="6" s="1"/>
  <c r="J194" i="6"/>
  <c r="J197" i="6" s="1"/>
  <c r="I194" i="6"/>
  <c r="K202" i="6" l="1"/>
  <c r="J202" i="6"/>
</calcChain>
</file>

<file path=xl/sharedStrings.xml><?xml version="1.0" encoding="utf-8"?>
<sst xmlns="http://schemas.openxmlformats.org/spreadsheetml/2006/main" count="4915" uniqueCount="869">
  <si>
    <t>Goods and Services Tax  - GSTR-2B</t>
  </si>
  <si>
    <t>Financial Year</t>
  </si>
  <si>
    <t>2025-26</t>
  </si>
  <si>
    <t>Tax Period</t>
  </si>
  <si>
    <t>September</t>
  </si>
  <si>
    <t>GSTIN</t>
  </si>
  <si>
    <t>33AAWFM5806A1ZD</t>
  </si>
  <si>
    <t>Legal Name</t>
  </si>
  <si>
    <t>MAHAALAXMI CERAMICS</t>
  </si>
  <si>
    <t>Trade Name (if any)</t>
  </si>
  <si>
    <t>Date of generation</t>
  </si>
  <si>
    <t>14/10/2025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</si>
  <si>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</si>
  <si>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</si>
  <si>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</si>
  <si>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</si>
  <si>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</si>
  <si>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</si>
  <si>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</si>
  <si>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</si>
  <si>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</si>
  <si>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</si>
  <si>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</si>
  <si>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</si>
  <si>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</si>
  <si>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</si>
  <si>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</si>
  <si>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</si>
  <si>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</si>
  <si>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</si>
  <si>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</si>
  <si>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</si>
  <si>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</si>
  <si>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</si>
  <si>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</si>
  <si>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</si>
  <si>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</si>
  <si>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</si>
  <si>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</si>
  <si>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</si>
  <si>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</si>
  <si>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</si>
  <si>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</si>
  <si>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</si>
  <si>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</si>
  <si>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</si>
  <si>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</si>
  <si>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</si>
  <si>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</si>
  <si>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</si>
  <si>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</si>
  <si>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</si>
  <si>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</si>
  <si>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</si>
  <si>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</si>
  <si>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</si>
  <si>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</si>
  <si>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</si>
  <si>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</si>
  <si>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</si>
  <si>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</si>
  <si>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</si>
  <si>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</si>
  <si>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</si>
  <si>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</si>
  <si>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</si>
  <si>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</si>
  <si>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</si>
  <si>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</si>
  <si>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</si>
  <si>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</si>
  <si>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</si>
  <si>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</si>
  <si>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</si>
  <si>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</si>
  <si>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</si>
  <si>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</si>
  <si>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</si>
  <si>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</si>
  <si>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</si>
  <si>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</si>
  <si>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</si>
  <si>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</si>
  <si>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</si>
  <si>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</si>
  <si>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</si>
  <si>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</si>
  <si>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</si>
  <si>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</si>
  <si>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</si>
  <si>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</si>
  <si>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</si>
  <si>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</si>
  <si>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</si>
  <si>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</si>
  <si>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</si>
  <si>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</si>
  <si>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</si>
  <si>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</si>
  <si>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</si>
  <si>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</si>
  <si>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</si>
  <si>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</si>
  <si>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</si>
  <si>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</si>
  <si>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</si>
  <si>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</si>
  <si>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</si>
  <si>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</si>
  <si>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</si>
  <si>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</si>
  <si>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</si>
  <si>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</si>
  <si>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</si>
  <si>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</si>
  <si>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</si>
  <si>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</si>
  <si>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</si>
  <si>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</si>
  <si>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</si>
  <si>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</si>
  <si>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</si>
  <si>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</si>
  <si>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</si>
  <si>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</si>
  <si>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</si>
  <si>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</si>
  <si>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</si>
  <si>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</si>
  <si>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</si>
  <si>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</si>
  <si>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</si>
  <si>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</si>
  <si>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</si>
  <si>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</si>
  <si>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</si>
  <si>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</si>
  <si>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</si>
  <si>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</si>
  <si>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</si>
  <si>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</si>
  <si>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</si>
  <si>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</si>
  <si>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</si>
  <si>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</si>
  <si>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</si>
  <si>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</si>
  <si>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</si>
  <si>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</si>
  <si>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</si>
  <si>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</si>
  <si>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</si>
  <si>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</si>
  <si>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</si>
  <si>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</si>
  <si>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</si>
  <si>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</si>
  <si>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</si>
  <si>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</si>
  <si>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</si>
  <si>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</si>
  <si>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</si>
  <si>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</si>
  <si>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</si>
  <si>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</si>
  <si>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</si>
  <si>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</si>
  <si>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</si>
  <si>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</si>
  <si>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</si>
  <si>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</si>
  <si>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overseas on bill of entry (Amendments)</t>
  </si>
  <si>
    <t>GSTIN of SEZ supplier</t>
  </si>
  <si>
    <t>Trade name of the SEZ supplier will be displayed. If trade name is not available then legal name of the SEZ supplier</t>
  </si>
  <si>
    <t>B2B(ITC Reversal)</t>
  </si>
  <si>
    <t>Import of goods from SEZ units/developers on bill of entry</t>
  </si>
  <si>
    <t>GSTR-1/IFF Period</t>
  </si>
  <si>
    <t>GSTR-1/IFF Filing Date</t>
  </si>
  <si>
    <t>B2BA(ITC Reversal)</t>
  </si>
  <si>
    <t>Import of goods from SEZ units/developers on bill of entry (Amendments)</t>
  </si>
  <si>
    <t>B2B-DNR</t>
  </si>
  <si>
    <t>ITC Reversed - Others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</si>
  <si>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</si>
  <si>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</si>
  <si>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</si>
  <si>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</si>
  <si>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</si>
  <si>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filed invoices by supplier (ITC reversal)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</si>
  <si>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</si>
  <si>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</si>
  <si>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</si>
  <si>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</si>
  <si>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</si>
  <si>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Debit notes(Original)</t>
  </si>
  <si>
    <t>Remarks</t>
  </si>
  <si>
    <t>Remark entered by recipient on IMS Dashboard at the time of rejection of record.</t>
  </si>
  <si>
    <t>B2BA-Rejected</t>
  </si>
  <si>
    <t>Amendments to previously uploaded Debit notes by supplier</t>
  </si>
  <si>
    <t>B2B-CDNR-Rejected</t>
  </si>
  <si>
    <t>ITC Rejected for taxable inward supplies received from registered persons</t>
  </si>
  <si>
    <t>B2B-CDNRA-Rejected</t>
  </si>
  <si>
    <t>ITC Rejected for amendments to previously filed invoices by supplier</t>
  </si>
  <si>
    <t>ECO-Rejected</t>
  </si>
  <si>
    <t>ITC Rejected for Debit/Credit notes (Original)</t>
  </si>
  <si>
    <t>GSTR-1/IFF period</t>
  </si>
  <si>
    <t>GSTR-1/IFF filing date</t>
  </si>
  <si>
    <t>ECOA-Rejected</t>
  </si>
  <si>
    <t>ITC Rejected for amendments to previously filed Credit/Debit notes by supplier</t>
  </si>
  <si>
    <t>ISD-Rejected</t>
  </si>
  <si>
    <t>ITC Rejected for documents reported by ECO on which ECO is liable to pay tax us 9(5)</t>
  </si>
  <si>
    <t>ISDA-Rejected</t>
  </si>
  <si>
    <t>ITC Rejected for amendments to documents reported by ECO on which ECO is liable to pay tax u/s 9(5)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</si>
  <si>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</si>
  <si>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</si>
  <si>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</si>
  <si>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</si>
  <si>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</si>
  <si>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</si>
  <si>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</si>
  <si>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</si>
  <si>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</si>
  <si>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</si>
  <si>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</si>
  <si>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</si>
  <si>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</si>
  <si>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</si>
  <si>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</si>
  <si>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</si>
  <si>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</si>
  <si>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</si>
  <si>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</si>
  <si>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</si>
  <si>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</si>
  <si>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</si>
  <si>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</si>
  <si>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</si>
  <si>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</si>
  <si>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</si>
  <si>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</si>
  <si>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</si>
  <si>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</si>
  <si>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</si>
  <si>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</si>
  <si>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</si>
  <si>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</si>
  <si>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</si>
  <si>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</si>
  <si>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</si>
  <si>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</si>
  <si>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</si>
  <si>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</si>
  <si>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</si>
  <si>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</si>
  <si>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</si>
  <si>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</si>
  <si>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</si>
  <si>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</si>
  <si>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</si>
  <si>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</si>
  <si>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</si>
  <si>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</si>
  <si>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</si>
  <si>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</si>
  <si>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</si>
  <si>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</si>
  <si>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</si>
  <si>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</si>
  <si>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</si>
  <si>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</si>
  <si>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</si>
  <si>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</si>
  <si>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</si>
  <si>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</si>
  <si>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</si>
  <si>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</si>
  <si>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</si>
  <si>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</si>
  <si>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</si>
  <si>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</si>
  <si>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</si>
  <si>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</si>
  <si>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</si>
  <si>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</si>
  <si>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</si>
  <si>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</si>
  <si>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</si>
  <si>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</si>
  <si>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</si>
  <si>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</si>
  <si>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</si>
  <si>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</si>
  <si>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</si>
  <si>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</si>
  <si>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</si>
  <si>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</si>
  <si>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</si>
  <si>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</si>
  <si>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</si>
  <si>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</si>
  <si>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</si>
  <si>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</si>
  <si>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</si>
  <si>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</si>
  <si>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</si>
  <si>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</si>
  <si>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</si>
  <si>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</si>
  <si>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</si>
  <si>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</si>
  <si>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</si>
  <si>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</si>
  <si>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33AABCV3125B1Z1</t>
  </si>
  <si>
    <t>VALLI STEEL INDUSTRIES PVT. LTD.</t>
  </si>
  <si>
    <t>112600</t>
  </si>
  <si>
    <t>Regular</t>
  </si>
  <si>
    <t>09/09/2025</t>
  </si>
  <si>
    <t>Tamil Nadu</t>
  </si>
  <si>
    <t>No</t>
  </si>
  <si>
    <t>Sep'25</t>
  </si>
  <si>
    <t>10/10/2025</t>
  </si>
  <si>
    <t>Yes</t>
  </si>
  <si>
    <t>100%</t>
  </si>
  <si>
    <t>E-Invoice</t>
  </si>
  <si>
    <t>09f5afdb8dbb2e88ffbf7bbda6e2142db500c747d2c7bbe059f832ac0fe43f4b</t>
  </si>
  <si>
    <t>24AACCL6726H1ZK</t>
  </si>
  <si>
    <t>LASA CERA PRIVATE LIMITED</t>
  </si>
  <si>
    <t>GSTT/962</t>
  </si>
  <si>
    <t>26/09/2025</t>
  </si>
  <si>
    <t>08/10/2025</t>
  </si>
  <si>
    <t>33AAAFE9603R1Z5</t>
  </si>
  <si>
    <t>EASTERN CORPORATION</t>
  </si>
  <si>
    <t>FA3056</t>
  </si>
  <si>
    <t>15/09/2025</t>
  </si>
  <si>
    <t>d3781eb7f0d8f711714f2538818c1f672ba1a866b28134c29626b51f054be5e5</t>
  </si>
  <si>
    <t>FA3097</t>
  </si>
  <si>
    <t>18/09/2025</t>
  </si>
  <si>
    <t>ec4f4bfc9166f2947d2207f2eb0e773c20d92a27fa22e09f5f397ac734f64761</t>
  </si>
  <si>
    <t>FA3233</t>
  </si>
  <si>
    <t>25/09/2025</t>
  </si>
  <si>
    <t>ce637b2893cdb261e72cea8069fe54989d481379708bb7d7ba01ded8817bd80c</t>
  </si>
  <si>
    <t>Nex1006</t>
  </si>
  <si>
    <t>c45aa93be385e140132466fff8f553b51819407cedf12e79f73c50840510e150</t>
  </si>
  <si>
    <t>Nex1007</t>
  </si>
  <si>
    <t>cab2f03a379c264a6846da831b4f442a0a6e6f65d26f6ed1123edc1e9f5afff9</t>
  </si>
  <si>
    <t>Nex838</t>
  </si>
  <si>
    <t>02/09/2025</t>
  </si>
  <si>
    <t>bfa4263c3e57aacb236728c8472c37403e81b3047c25d79337c6101ace328bac</t>
  </si>
  <si>
    <t>Nex955</t>
  </si>
  <si>
    <t>d4998913c2df0e2c5f588ab730692c678fb95a54fd32e2fd318890031fef8d29</t>
  </si>
  <si>
    <t>RA25</t>
  </si>
  <si>
    <t>7ec8233ac767fb04507a74ec2579df53a93fe2ac9f15601747955209796052b2</t>
  </si>
  <si>
    <t>33AAACH2702H1Z7</t>
  </si>
  <si>
    <t>HDFC BANK LIMITED</t>
  </si>
  <si>
    <t>LMS2625362605149</t>
  </si>
  <si>
    <t>10/09/2025</t>
  </si>
  <si>
    <t>LMS2625362605510</t>
  </si>
  <si>
    <t>LMS2625362606007</t>
  </si>
  <si>
    <t>NCB2625361429730</t>
  </si>
  <si>
    <t>24AARFC2763R1ZQ</t>
  </si>
  <si>
    <t>CLAYROCK GRANITO LLP</t>
  </si>
  <si>
    <t>CLR/2526-4850</t>
  </si>
  <si>
    <t>16/09/2025</t>
  </si>
  <si>
    <t>07/10/2025</t>
  </si>
  <si>
    <t>68c570b3e06ab081448b380147664752d1637bf2724be3eb976d2d0272fb4979</t>
  </si>
  <si>
    <t>CLR/2526-5039</t>
  </si>
  <si>
    <t>21/09/2025</t>
  </si>
  <si>
    <t>39571673be273058197d02eac37da898badae303fdf41a46cd185b31a8c394d3</t>
  </si>
  <si>
    <t>33ADNFS8461M1ZC</t>
  </si>
  <si>
    <t>STAR MARKETING</t>
  </si>
  <si>
    <t>2977</t>
  </si>
  <si>
    <t>03/09/2025</t>
  </si>
  <si>
    <t>8797cd5647a19310bcafac834609976c6692890515f787de1fb901b99ea165e8</t>
  </si>
  <si>
    <t>3233</t>
  </si>
  <si>
    <t>ea604169aff79c592fbdedf6fc65730030da974b3c15d1f1724a6c133a5b833f</t>
  </si>
  <si>
    <t>3353</t>
  </si>
  <si>
    <t>24/09/2025</t>
  </si>
  <si>
    <t>8e0a5c32c714556eb9759cbef23f9d0e57176606dd561fc9631cbd7f3752582a</t>
  </si>
  <si>
    <t>24AANCS6859B1Z4</t>
  </si>
  <si>
    <t>SEGAL CERAMIC PRIVATE LIMITED</t>
  </si>
  <si>
    <t>2526/1775</t>
  </si>
  <si>
    <t>19/09/2025</t>
  </si>
  <si>
    <t>37AAECS0763K1Z4</t>
  </si>
  <si>
    <t>SOMANY CERAMICS LIMITED</t>
  </si>
  <si>
    <t>3525206222</t>
  </si>
  <si>
    <t>11/10/2025</t>
  </si>
  <si>
    <t>3525206223</t>
  </si>
  <si>
    <t>3525206704</t>
  </si>
  <si>
    <t>3525206705</t>
  </si>
  <si>
    <t>3525207281</t>
  </si>
  <si>
    <t>29/09/2025</t>
  </si>
  <si>
    <t>3525207282</t>
  </si>
  <si>
    <t>3525207283</t>
  </si>
  <si>
    <t>33CHIPS6786C2ZY</t>
  </si>
  <si>
    <t>SRI PALANIANDAVAR TRADERS</t>
  </si>
  <si>
    <t>SIT-334</t>
  </si>
  <si>
    <t>09/10/2025</t>
  </si>
  <si>
    <t>SIT-339</t>
  </si>
  <si>
    <t>SIT-342</t>
  </si>
  <si>
    <t>33ALAPJ2732M1ZA</t>
  </si>
  <si>
    <t>PHOENIX BATH INDIA</t>
  </si>
  <si>
    <t>250</t>
  </si>
  <si>
    <t>13/09/2025</t>
  </si>
  <si>
    <t>33AAPCA8569C1ZG</t>
  </si>
  <si>
    <t>AIRMIMO NETWORKS PRIVATE LIMITED</t>
  </si>
  <si>
    <t>AT/0361</t>
  </si>
  <si>
    <t>24AAWCS0462K1ZX</t>
  </si>
  <si>
    <t>SEZ VITRIFIED PVT LTD</t>
  </si>
  <si>
    <t>2025/26-DS2905</t>
  </si>
  <si>
    <t>24CPOPS5790A2ZK</t>
  </si>
  <si>
    <t>NAMAKKAL SRI KRISHNA TRANSPORT</t>
  </si>
  <si>
    <t>598</t>
  </si>
  <si>
    <t>Aug'25</t>
  </si>
  <si>
    <t>623</t>
  </si>
  <si>
    <t>661</t>
  </si>
  <si>
    <t>33DOFPS9847D1ZK</t>
  </si>
  <si>
    <t>SRI MAHAA MARKETING</t>
  </si>
  <si>
    <t>INV/25-26/1168</t>
  </si>
  <si>
    <t>33AAHFT9183E1ZZ</t>
  </si>
  <si>
    <t>THE TIILE SHOP</t>
  </si>
  <si>
    <t>1514</t>
  </si>
  <si>
    <t>27AAACI1195H3ZK</t>
  </si>
  <si>
    <t>ICICI BANK LIMITED</t>
  </si>
  <si>
    <t>7406EPO095102885</t>
  </si>
  <si>
    <t>30/09/2025</t>
  </si>
  <si>
    <t>7406EPS092521373</t>
  </si>
  <si>
    <t>33ABMPU9655L1ZQ</t>
  </si>
  <si>
    <t>AYYAN ELECTRICALS</t>
  </si>
  <si>
    <t>INV-25/26-1970</t>
  </si>
  <si>
    <t>INV-25/26-1998</t>
  </si>
  <si>
    <t>INV-25/26-2043</t>
  </si>
  <si>
    <t>INV-25/26-2093</t>
  </si>
  <si>
    <t>INV-25/26-2245</t>
  </si>
  <si>
    <t>INV-25/26-2295</t>
  </si>
  <si>
    <t>INV-25/26-2331</t>
  </si>
  <si>
    <t>27AAACH2702H3ZY</t>
  </si>
  <si>
    <t>MAP2627319528556</t>
  </si>
  <si>
    <t>24ABTFS7793N1ZY</t>
  </si>
  <si>
    <t>SRI LAXMI STEEL INDUSTRIES</t>
  </si>
  <si>
    <t>GSTT/106</t>
  </si>
  <si>
    <t>06/10/2025</t>
  </si>
  <si>
    <t>33CNAPS8820B1Z9</t>
  </si>
  <si>
    <t>MUTHU HARDWARES</t>
  </si>
  <si>
    <t>6424</t>
  </si>
  <si>
    <t>6705</t>
  </si>
  <si>
    <t>INV-25/26-2415</t>
  </si>
  <si>
    <t>INV-25/26-2432</t>
  </si>
  <si>
    <t>06/09/2025</t>
  </si>
  <si>
    <t>INV-25/26-2453</t>
  </si>
  <si>
    <t>INV-25/26-2540</t>
  </si>
  <si>
    <t>17/09/2025</t>
  </si>
  <si>
    <t>INV-25/26-2591</t>
  </si>
  <si>
    <t>20/09/2025</t>
  </si>
  <si>
    <t>INV-25/26-2643</t>
  </si>
  <si>
    <t>09AAACO4007A1Z3</t>
  </si>
  <si>
    <t>M/S ONE 97 COMMUNICATION LTD</t>
  </si>
  <si>
    <t>9540994444</t>
  </si>
  <si>
    <t>9541434155</t>
  </si>
  <si>
    <t>9549453149</t>
  </si>
  <si>
    <t>33AAAFU9136D1ZE</t>
  </si>
  <si>
    <t>UMA TRADERS</t>
  </si>
  <si>
    <t>CR/1227/25-26</t>
  </si>
  <si>
    <t>699</t>
  </si>
  <si>
    <t>799</t>
  </si>
  <si>
    <t>33AYSPN5403G1ZD</t>
  </si>
  <si>
    <t>RS TOOLS WORLD</t>
  </si>
  <si>
    <t>RTW/25-26/244</t>
  </si>
  <si>
    <t>33ACXPC1723B1Z3</t>
  </si>
  <si>
    <t>VELS MEDIA</t>
  </si>
  <si>
    <t>457</t>
  </si>
  <si>
    <t>5221</t>
  </si>
  <si>
    <t>33AANFP0672L1ZY</t>
  </si>
  <si>
    <t>POLARIS LIGHTING &amp; ENERGY MANAGEMENT</t>
  </si>
  <si>
    <t>FC/25-26/B0121</t>
  </si>
  <si>
    <t>31c35fe34f11538c83eab6c01f9a586dbe3310dd575accd19e46c94cb4f4b731</t>
  </si>
  <si>
    <t>33EESPK2403H1ZL</t>
  </si>
  <si>
    <t>SWASTHIK  TRADERS</t>
  </si>
  <si>
    <t>546</t>
  </si>
  <si>
    <t>33ABPPD4344L1ZK</t>
  </si>
  <si>
    <t>INDIAN TRADING COMPANY</t>
  </si>
  <si>
    <t>ITC/25-26/2812</t>
  </si>
  <si>
    <t>ITC/25-26/3127</t>
  </si>
  <si>
    <t>ITC/25-26/3148</t>
  </si>
  <si>
    <t>29AAFFK2127F1ZJ</t>
  </si>
  <si>
    <t>KALYANA SUNDARAM ROADWAYS</t>
  </si>
  <si>
    <t>AUG-1706H</t>
  </si>
  <si>
    <t>12/09/2025</t>
  </si>
  <si>
    <t>33AXFPS5276E1ZC</t>
  </si>
  <si>
    <t>SRI KRISHNA AGENCIES</t>
  </si>
  <si>
    <t>HW/2025-26/281</t>
  </si>
  <si>
    <t>24AADCV4394A1ZJ</t>
  </si>
  <si>
    <t>VIVANTA CERAMIC PVT. LTD.</t>
  </si>
  <si>
    <t>GSTT/1815</t>
  </si>
  <si>
    <t>04/10/2025</t>
  </si>
  <si>
    <t>d0f83a32f9e889990b1f2521345c747e67e8c4e40df802409fa601b2aac5791e</t>
  </si>
  <si>
    <t>33ADDPN2779B1ZS</t>
  </si>
  <si>
    <t>HOME CENTRE</t>
  </si>
  <si>
    <t>HCCBE-1488/25-26</t>
  </si>
  <si>
    <t>d4fbc8d072902b7d5cdb02990148824808c8b74ad2a205cfe356312e0956015a</t>
  </si>
  <si>
    <t>37AABCK1613R1ZA</t>
  </si>
  <si>
    <t>KAJARIA CERAMICS LIMITED</t>
  </si>
  <si>
    <t>1525008597</t>
  </si>
  <si>
    <t>05/09/2025</t>
  </si>
  <si>
    <t>ac03545345043360b0414b850e7e4d333908ac4e4f988bc19346a042401bd414</t>
  </si>
  <si>
    <t>1525008789</t>
  </si>
  <si>
    <t>02f46463915c8396d6a571b27120c51826d878f35e5412ad61cc754b738f5296</t>
  </si>
  <si>
    <t>1525009135</t>
  </si>
  <si>
    <t>adacbea06f67e6095ac6bd8c922da78a449a8cb2f291b6bf89c916c28da7485b</t>
  </si>
  <si>
    <t>1525009136</t>
  </si>
  <si>
    <t>28b8142f7842636b320d2b7ea1c55909da623da5b2f03ad4fa737a220cffceea</t>
  </si>
  <si>
    <t>1525009137</t>
  </si>
  <si>
    <t>b8591b5d5a4c371f7adc3230f2e3cd54e0e8a42c7928ceadf4f42cdb4c4cb94e</t>
  </si>
  <si>
    <t>1525009435</t>
  </si>
  <si>
    <t>22/09/2025</t>
  </si>
  <si>
    <t>1e58556c1b3e13d3c2bde18f766e2b3ced18a060e91db6260803568ea1f6e5d4</t>
  </si>
  <si>
    <t>1525010058</t>
  </si>
  <si>
    <t>bfff1d3ec1f584732cdb868716d5cd5db13b5ee13e388f9a639e022bf2a5cbb3</t>
  </si>
  <si>
    <t>1525010059</t>
  </si>
  <si>
    <t>297217fe706b63a695d5ad8afe91795867cc1d1f0468807428454f75a8831ab5</t>
  </si>
  <si>
    <t>1525010060</t>
  </si>
  <si>
    <t>7b51eae09a76b2e87bc066105118a60cf22eed4b2ae1e00d7f929767f8bce313</t>
  </si>
  <si>
    <t>33AACFL5700C1Z1</t>
  </si>
  <si>
    <t>LAKSHMI MARBLES</t>
  </si>
  <si>
    <t>3257</t>
  </si>
  <si>
    <t>102efa78369859fa547381189405bb079b83f51a511d6b04e2e7df4da70d7f12</t>
  </si>
  <si>
    <t>33AAMFD5854F1ZE</t>
  </si>
  <si>
    <t>DHARAN BATH CARE</t>
  </si>
  <si>
    <t>CS/25-26/3024</t>
  </si>
  <si>
    <t>336ec3cef14fb283875613167b372565646732a6bd0463c9b59e99e5d48a6552</t>
  </si>
  <si>
    <t>CS/25-26/3029</t>
  </si>
  <si>
    <t>3fde95c5c5e91ba0f11bc784743b325e754de45d92085688b777fa9409c016ed</t>
  </si>
  <si>
    <t>CS/25-26/3030</t>
  </si>
  <si>
    <t>d4d3e26cccdb27f570580f09f0633d211d8d5982af520faf84330a5d6d46b703</t>
  </si>
  <si>
    <t>CS/25-26/3145</t>
  </si>
  <si>
    <t>0a5da9d705e920d39e9c64da0a7b53e4166c039f3a3e85c2fee3e110f3afed96</t>
  </si>
  <si>
    <t>CS/25-26/3289</t>
  </si>
  <si>
    <t>c783fb618567cb6b84ab4bfd4980b3ae298e1a957e1b3d9d5d6754a7b11d4702</t>
  </si>
  <si>
    <t>24AAKCA3038K1ZP</t>
  </si>
  <si>
    <t>NEPTUNE LOGITEK LIMITED</t>
  </si>
  <si>
    <t>AL/2526/Sep903</t>
  </si>
  <si>
    <t>653bb8821217f7cbaf6dd2c67ec13d589c2990f8f96fc2c6c5fdd735f0d026a3</t>
  </si>
  <si>
    <t>AL/2526/Sep936</t>
  </si>
  <si>
    <t>884b042915bec5dd119915ca014655d2f7459594033dd8f89b5822e8345e9bcc</t>
  </si>
  <si>
    <t>AL/2526/Sep949</t>
  </si>
  <si>
    <t>a3e2d747b0a9a1b7f1bb5a246ba4990dc04919f9449109ace32481c0b221578f</t>
  </si>
  <si>
    <t>33AAGFP3696R1ZF</t>
  </si>
  <si>
    <t>PUPA CERAMIC</t>
  </si>
  <si>
    <t>PC-2526-8049</t>
  </si>
  <si>
    <t>fe1f5e95f9dd221926383b41db8a755f9bb02c27c1abbf142990f95022639a05</t>
  </si>
  <si>
    <t>PC-2526-8100</t>
  </si>
  <si>
    <t>291e60b08b440dee95239c03d51ab11a47b6959bd97ff9176ab06805a4b355e1</t>
  </si>
  <si>
    <t>33EHEPS1259C1ZJ</t>
  </si>
  <si>
    <t>M A MARBLE CARE</t>
  </si>
  <si>
    <t>77</t>
  </si>
  <si>
    <t>78</t>
  </si>
  <si>
    <t>33ACCFA9988P1ZJ</t>
  </si>
  <si>
    <t>AALAM TRADERS</t>
  </si>
  <si>
    <t>AT/334/25-26</t>
  </si>
  <si>
    <t>AT/335/25-26</t>
  </si>
  <si>
    <t>33ABDCS2901H1ZQ</t>
  </si>
  <si>
    <t>SREE GOKUL'S BUILD MART PRIVATE LIMITED</t>
  </si>
  <si>
    <t>SI-25-43124</t>
  </si>
  <si>
    <t>a5e1e1d01a7e9de31c57e32424a2dc1aee7f9070e57b6644a12f7498cb9273e4</t>
  </si>
  <si>
    <t>24AAECS0763K1ZB</t>
  </si>
  <si>
    <t>SOMANY CERAMICS  LIMITED</t>
  </si>
  <si>
    <t>2925231182</t>
  </si>
  <si>
    <t>2925231184</t>
  </si>
  <si>
    <t>2925231199</t>
  </si>
  <si>
    <t>2925231217</t>
  </si>
  <si>
    <t>2925232547</t>
  </si>
  <si>
    <t>2925233943</t>
  </si>
  <si>
    <t>2925233944</t>
  </si>
  <si>
    <t>2925234200</t>
  </si>
  <si>
    <t>2925234236</t>
  </si>
  <si>
    <t>2925235913</t>
  </si>
  <si>
    <t>425204176</t>
  </si>
  <si>
    <t>425204667</t>
  </si>
  <si>
    <t>525204591</t>
  </si>
  <si>
    <t>525205200</t>
  </si>
  <si>
    <t>33AMYPG9514F1ZS</t>
  </si>
  <si>
    <t>NESAN &amp; CO</t>
  </si>
  <si>
    <t>220726</t>
  </si>
  <si>
    <t>24AACCK9331M1ZB</t>
  </si>
  <si>
    <t>KERAKOLL INDIA PVT LTD</t>
  </si>
  <si>
    <t>9800052791</t>
  </si>
  <si>
    <t>88a7686a61aed5e0698202aa8bef55bc97a7362ec3ad74ab0beb8a5ad94be1eb</t>
  </si>
  <si>
    <t>33AAEPA4907E1ZE</t>
  </si>
  <si>
    <t>S &amp; S ENTERPRISES</t>
  </si>
  <si>
    <t>430</t>
  </si>
  <si>
    <t>23/09/2025</t>
  </si>
  <si>
    <t>24AACCR6424N1Z6</t>
  </si>
  <si>
    <t>R.A.K.CERAMICS INDIA PRIVATE LIMITED</t>
  </si>
  <si>
    <t>5071210198</t>
  </si>
  <si>
    <t>554559f5e116c85f6613cdbdd2f78b83f7a7792218ec013a892c2a7d9e1812a6</t>
  </si>
  <si>
    <t>33AABFS8756N1ZM</t>
  </si>
  <si>
    <t>SRI MURUGAN    CO.,</t>
  </si>
  <si>
    <t>5336</t>
  </si>
  <si>
    <t>01/09/2025</t>
  </si>
  <si>
    <t>958d61295967dd5839f23fcc85e2d2dbee3fccfeb6de947991b5a97e0fbe3b24</t>
  </si>
  <si>
    <t>33AJFPD3869C1ZK</t>
  </si>
  <si>
    <t>DILIP GLASS HOUSE</t>
  </si>
  <si>
    <t>DGH/25-26/451</t>
  </si>
  <si>
    <t>DGH/25-26/453</t>
  </si>
  <si>
    <t>DGH/25-26/454</t>
  </si>
  <si>
    <t>DGH/25-26/459</t>
  </si>
  <si>
    <t>32AAUFK7798R1ZX</t>
  </si>
  <si>
    <t>KOSTA SHIPPING LLP</t>
  </si>
  <si>
    <t>MMT/25-26/7149</t>
  </si>
  <si>
    <t>171335be574e9d26babbd5a6038a179681bff483c879feaeedb8c21b4b0b057f</t>
  </si>
  <si>
    <t>MMT/25-26/7453</t>
  </si>
  <si>
    <t>aa7556f58a6d1f0fd06e3a25a4ad78f0e1560eefeff2c4f27de06d520eb3ecea</t>
  </si>
  <si>
    <t>MMT/25-26/7656</t>
  </si>
  <si>
    <t>2c68fefaa46942546be8fbc33ae8b6a030d67f7337427a2c883fbd34507eed85</t>
  </si>
  <si>
    <t>33CFUPD9530F1ZC</t>
  </si>
  <si>
    <t>OXY INDIA</t>
  </si>
  <si>
    <t>INV/25-26/335</t>
  </si>
  <si>
    <t>33AAMFT2781R1ZD</t>
  </si>
  <si>
    <t>TRANS ELECTRIC COMPANY</t>
  </si>
  <si>
    <t>TEC25-26/2599</t>
  </si>
  <si>
    <t>d506d907b52b3b0f70b9a239feb685924c9e035d5d4bceaabd2570cd03fd3830</t>
  </si>
  <si>
    <t>TEC25-26/2928</t>
  </si>
  <si>
    <t>83ac035d6726d9fb872b49d4171434a46e61c2e76c0231986d0c1021220e3178</t>
  </si>
  <si>
    <t>TEC25-26/2930</t>
  </si>
  <si>
    <t>20f3625d5e7db1b6feabbe999ca7eb63dd377e8d440575ab1f80e2d63c6040ab</t>
  </si>
  <si>
    <t>33ABDFM3416E1ZS</t>
  </si>
  <si>
    <t>METTUR TRANSPORTS</t>
  </si>
  <si>
    <t>MTT25091087</t>
  </si>
  <si>
    <t>33AACCK9331M1ZC</t>
  </si>
  <si>
    <t>9200008116</t>
  </si>
  <si>
    <t>0e9d0e0a510b7f84be606b8cdda48779802f9d917716261dd4912d160e5be459</t>
  </si>
  <si>
    <t>33AAACL5557E1ZQ</t>
  </si>
  <si>
    <t>MYK LATICRETE INDIA PRIVATE LIMITED</t>
  </si>
  <si>
    <t>9310279243</t>
  </si>
  <si>
    <t>9310279244</t>
  </si>
  <si>
    <t>9310279710</t>
  </si>
  <si>
    <t>9310279711</t>
  </si>
  <si>
    <t>9310279713</t>
  </si>
  <si>
    <t>33ABTFA5223H1ZH</t>
  </si>
  <si>
    <t>AIRWAVE INTERNET SERVICE</t>
  </si>
  <si>
    <t>AW-1040</t>
  </si>
  <si>
    <t>33AWYPP7660D1Z0</t>
  </si>
  <si>
    <t>SEETHA   CO</t>
  </si>
  <si>
    <t>SC-1821</t>
  </si>
  <si>
    <t>SC-2024</t>
  </si>
  <si>
    <t>24AAQFA1121Q1ZD</t>
  </si>
  <si>
    <t>ANMOL CERAMIC</t>
  </si>
  <si>
    <t>GSTT/2232</t>
  </si>
  <si>
    <t>dc737355c72e14232368e8deb6fd5e69a9da135f1acb867b5d27a9320408ff2d</t>
  </si>
  <si>
    <t>33ACCFA8488N1ZU</t>
  </si>
  <si>
    <t>ARASFIRMA</t>
  </si>
  <si>
    <t>2712/25-26</t>
  </si>
  <si>
    <t>4236ca5ff69957c6d884036ada8c1ccf0e8dbfb1b2b41b3fe027fad5de457a03</t>
  </si>
  <si>
    <t>24DDGPB1498P1Z6</t>
  </si>
  <si>
    <t>R&amp;B ELECTRONICS</t>
  </si>
  <si>
    <t>RB/168</t>
  </si>
  <si>
    <t>13/10/2025</t>
  </si>
  <si>
    <t>33ACOPU6441R1ZO</t>
  </si>
  <si>
    <t>ARRUMUGA TILES</t>
  </si>
  <si>
    <t>3819/25-26</t>
  </si>
  <si>
    <t>33ACJFS0911K1Z7</t>
  </si>
  <si>
    <t>SRI MURUGAN BATH</t>
  </si>
  <si>
    <t>79</t>
  </si>
  <si>
    <t>33AAHFA1073G1ZX</t>
  </si>
  <si>
    <t>APEX MARBLES AND GRANITES</t>
  </si>
  <si>
    <t>T488</t>
  </si>
  <si>
    <t>5c7859250bf848f0a007ec5739bf1955eccfc6176bd6ed794031a49299983eb3</t>
  </si>
  <si>
    <t>33AABCW9844Q1ZJ</t>
  </si>
  <si>
    <t>WBS Internet Services Private Limited</t>
  </si>
  <si>
    <t>BW25-26/09/009</t>
  </si>
  <si>
    <t>33AAACU5552C1ZQ</t>
  </si>
  <si>
    <t>UNITED INDIA INSURANCE COMPANY LIMITED</t>
  </si>
  <si>
    <t>3125I109456349</t>
  </si>
  <si>
    <t>33ABLFS2049B1ZH</t>
  </si>
  <si>
    <t>SHARP   AGENCIES</t>
  </si>
  <si>
    <t>3503/25-26</t>
  </si>
  <si>
    <t>33AAAFU5565E1ZB</t>
  </si>
  <si>
    <t>UNIVERSAL  AGENCY</t>
  </si>
  <si>
    <t>6080/25-26</t>
  </si>
  <si>
    <t>64f8bd85a4c976244e0fb320547018cae92654b1056e48e2b86146fe2a54c18e</t>
  </si>
  <si>
    <t>6927/25-26</t>
  </si>
  <si>
    <t>ff29d522dc1d860f30bcbdf59e8e7c91bf7b8ea45fa0c78ac79ff0afc919ac1a</t>
  </si>
  <si>
    <t>33ACMPN7292D1ZF</t>
  </si>
  <si>
    <t>KUBERA JEWELLERS</t>
  </si>
  <si>
    <t>SB/GST/106/25-26</t>
  </si>
  <si>
    <t>1fde806d3d2ee4bac03c1e103a10c60fa165812b419b90b5ee195a3a0db41a75</t>
  </si>
  <si>
    <t>29AAYFV9886F1ZT</t>
  </si>
  <si>
    <t>VASSAM PRODUCTS</t>
  </si>
  <si>
    <t>125</t>
  </si>
  <si>
    <t>126</t>
  </si>
  <si>
    <t>33ABNPL2727M1ZD</t>
  </si>
  <si>
    <t>MAMTA REXINE LAND</t>
  </si>
  <si>
    <t>8411</t>
  </si>
  <si>
    <t>24AARFP0752B1ZH</t>
  </si>
  <si>
    <t>PUSHPAK LOGISTICS SOLUTIONS LLP</t>
  </si>
  <si>
    <t>INV/25/09/08356</t>
  </si>
  <si>
    <t>a064f0b857ef803740cf631a0f7bd444ee2f5dc1c0e10d71703d36c24825aec0</t>
  </si>
  <si>
    <t>33AJIPB6084G1ZE</t>
  </si>
  <si>
    <t>SRI SIVASAKTHI AGENCIES</t>
  </si>
  <si>
    <t>2858</t>
  </si>
  <si>
    <t>24AALCS1872N1ZU</t>
  </si>
  <si>
    <t>SIMPOLO VITRIFIED PRIVATE LIMITED</t>
  </si>
  <si>
    <t>2511006042</t>
  </si>
  <si>
    <t>2ccbc65aac1e9caef43a9856e8001d9557a26db40cbd2b08cc23c1723d1a39cf</t>
  </si>
  <si>
    <t>2512011535</t>
  </si>
  <si>
    <t>440bbdadd3dac80c6585c7b37981312a32435e682d50244cb47e87f53aac3897</t>
  </si>
  <si>
    <t>2512012815</t>
  </si>
  <si>
    <t>521e6ae349b4b8b1b67229482da9b1fb316b6b74825ee2feba42067c7f285fe5</t>
  </si>
  <si>
    <t>2521005519</t>
  </si>
  <si>
    <t>da730c236a4aa8b686f3a190621939681c005815c737a03c5638f5f50a3accdd</t>
  </si>
  <si>
    <t>2521005786</t>
  </si>
  <si>
    <t>393e0580ad375f73c605d15dea34b6f211d1dcf192fc89ea60e092ddb6f4e91e</t>
  </si>
  <si>
    <t>24AANCM0226G1ZR</t>
  </si>
  <si>
    <t>MOTTO STONE PRIVATE LIMITED</t>
  </si>
  <si>
    <t>IT/6983</t>
  </si>
  <si>
    <t>IT/7424</t>
  </si>
  <si>
    <t>IT/7428</t>
  </si>
  <si>
    <t>KCI/2692</t>
  </si>
  <si>
    <t>RG/9293</t>
  </si>
  <si>
    <t>ST/7063</t>
  </si>
  <si>
    <t>ST/7416</t>
  </si>
  <si>
    <t>ST/7421</t>
  </si>
  <si>
    <t>33AUAPK8948D1ZO</t>
  </si>
  <si>
    <t>BSK AIR CONDITIONING ENGINEERS</t>
  </si>
  <si>
    <t>BSK/174/2025-26</t>
  </si>
  <si>
    <t>a425b66fd6080d75902aa985120a77c0b14d69e8abbbae70f84495de114e3a96</t>
  </si>
  <si>
    <t>BSK/175/2025-26</t>
  </si>
  <si>
    <t>efeeab62801b162b04564430141f8ac615c6767b925f72eec08ce53967a23e6b</t>
  </si>
  <si>
    <t>24AEYFS1490Q1ZZ</t>
  </si>
  <si>
    <t>SPACE METAL CRAFT</t>
  </si>
  <si>
    <t>0045/25-26</t>
  </si>
  <si>
    <t>29AFSPJ9214Q1ZF</t>
  </si>
  <si>
    <t>MAXPRINT CERAMIC INDUSTRIES</t>
  </si>
  <si>
    <t>2258</t>
  </si>
  <si>
    <t>5e4f8c63655332758b63509eefd29843ccd3bda996b2a289a4369745383fd713</t>
  </si>
  <si>
    <t>33AASCA1043J1ZR</t>
  </si>
  <si>
    <t>ALAGHU BUILDMAART PRIVATE LIMITED</t>
  </si>
  <si>
    <t>MTP2526CRD10172</t>
  </si>
  <si>
    <t>f5da80e7238d5ce46c4801a64e923f78026f1135df6fc8f051f3ad48de4e5623</t>
  </si>
  <si>
    <t>MTP2526CRD10649</t>
  </si>
  <si>
    <t>bfac2bf3df56f531e4d6f472c51b3a608c3ae63711e571eedab4ae5e9e650936</t>
  </si>
  <si>
    <t>MTP2526CRD10987</t>
  </si>
  <si>
    <t>ac1382c6ce64a099ba218fe5b2b674d086e651067078d731a3ee59db421cb266</t>
  </si>
  <si>
    <t>33AAACI1195H1ZT</t>
  </si>
  <si>
    <t>I.C.I.C.I BANK LIMITED</t>
  </si>
  <si>
    <t>0138251326864906</t>
  </si>
  <si>
    <t>0138251326929478</t>
  </si>
  <si>
    <t>0138251326946583</t>
  </si>
  <si>
    <t>0138251327075852</t>
  </si>
  <si>
    <t>33AABFV4853D1ZE</t>
  </si>
  <si>
    <t>VIGNESHWARA TRADERS</t>
  </si>
  <si>
    <t>AOP/137/25-26</t>
  </si>
  <si>
    <t>1d57410bc15d1462f795b9f9d27b1e9ff306aa69aa80bd16b23c8741869a1c09</t>
  </si>
  <si>
    <t>AOS/375/25-26</t>
  </si>
  <si>
    <t>c411802a8f5be85f9da57fccd5ec0a3d8a4778ebca28072fd071c38e7874e4c4</t>
  </si>
  <si>
    <t>33ADGPV9628Q1ZK</t>
  </si>
  <si>
    <t>V M ENGINEERING</t>
  </si>
  <si>
    <t>VM/INV/002190</t>
  </si>
  <si>
    <t>33AANCP6060B1ZN</t>
  </si>
  <si>
    <t>PRANEESHA FOOD AND BEVERAGE PRIVATE LIMITED</t>
  </si>
  <si>
    <t>PFBPL/0054/25-26</t>
  </si>
  <si>
    <t>PFBPL/0062/25-26</t>
  </si>
  <si>
    <t>PFBPL/0078/25-26</t>
  </si>
  <si>
    <t>03AAXFA6148E1ZE</t>
  </si>
  <si>
    <t>AIMTECH</t>
  </si>
  <si>
    <t>T/25-26/14653</t>
  </si>
  <si>
    <t>08fbec26c96b1d821b148bee9339414f991867f2c3ef4ad2b6f9ce706908681d</t>
  </si>
  <si>
    <t>33ERAPK6204D1ZD</t>
  </si>
  <si>
    <t>M/S.CHOWDHARY METAL SECTIONS</t>
  </si>
  <si>
    <t>CMS/25-26/3813</t>
  </si>
  <si>
    <t>f379c23911f4bd17e48c16f4dcee92b40fc92e19904175a7a6c6b3868e1d34f0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</si>
  <si>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</si>
  <si>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</si>
  <si>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</si>
  <si>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</si>
  <si>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</si>
  <si>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</si>
  <si>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</si>
  <si>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</si>
  <si>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24AAACJ4897K1Z5</t>
  </si>
  <si>
    <t>VICTORY CERATECH PVT.LTD.</t>
  </si>
  <si>
    <t>DHCN-GS/8</t>
  </si>
  <si>
    <t>Credit Note</t>
  </si>
  <si>
    <t>5b76f95016301fb1d4b67a934a223353578d19d1fe0525c564b78e7e4622faea</t>
  </si>
  <si>
    <t>1110008051</t>
  </si>
  <si>
    <t>eee06b7804986fd66d64e781b4c459f57e0fcb48b28f1a2c87a185a4fdf15817</t>
  </si>
  <si>
    <t>1110008052</t>
  </si>
  <si>
    <t>45fdcafe9f770a074bc743a1f88670131f38dfcf725372365467ab8aa8fa8f83</t>
  </si>
  <si>
    <t>1110009141</t>
  </si>
  <si>
    <t>bf38326bb63a92244b4a0b6bf383bccb9a6a87d47cef036997e015f38ce2688b</t>
  </si>
  <si>
    <t>03/10/2025</t>
  </si>
  <si>
    <t>1110009142</t>
  </si>
  <si>
    <t>9647236b3671c59fb559d78a52ad0269bccc0e835a8e25969df3e6dbfa53911d</t>
  </si>
  <si>
    <t>1110009143</t>
  </si>
  <si>
    <t>d42527264465def52dc10240d2f738a2b39fc6380c70fa111f11a94e1665d3cd</t>
  </si>
  <si>
    <t>1110009144</t>
  </si>
  <si>
    <t>2aff0a538ec482c9703ec69114caa61c2f615863c34d2856841f63b661ef019f</t>
  </si>
  <si>
    <t>1110009145</t>
  </si>
  <si>
    <t>28d656b765d75678d372d444d92b6c9f74d1fe318ae5b0516f4bfa32615b4bd5</t>
  </si>
  <si>
    <t>1110009146</t>
  </si>
  <si>
    <t>4350698c4101eac756b5de8428313ecf58734a44da4b2651fc3f158900d4b286</t>
  </si>
  <si>
    <t>1110009147</t>
  </si>
  <si>
    <t>2361150b7f9423e3f4df21d08e9416db3f85434084547e8cd13fd949a482ccca</t>
  </si>
  <si>
    <t>1110009148</t>
  </si>
  <si>
    <t>f3defc938e9551e34d8275eabf825aa4ca0a711cdb8e5ea205b037d6053f264c</t>
  </si>
  <si>
    <t>1110009149</t>
  </si>
  <si>
    <t>2bd203b6e05538f4b8813974fc2fc82fd36aaeb61aa2f3415f24f0e9ef723d10</t>
  </si>
  <si>
    <t>1110009150</t>
  </si>
  <si>
    <t>0487192a215a258a05ed9d34d0e207bc7977630cb93ec464842042afff281510</t>
  </si>
  <si>
    <t>1110009151</t>
  </si>
  <si>
    <t>d4ef48133e16c96682bd72a1be0924ceec9b0719d33499ad53e90d57d2491909</t>
  </si>
  <si>
    <t>1110009152</t>
  </si>
  <si>
    <t>ed03ce21224b3d847e80fbe597c04c912a04afccf84dca0d38d55416061d6c5d</t>
  </si>
  <si>
    <t>1110009153</t>
  </si>
  <si>
    <t>25bab06e273d3bceea6a5b6cef0b6b2cebebe984a12045f4205da671f833cda9</t>
  </si>
  <si>
    <t>1110009154</t>
  </si>
  <si>
    <t>8fc21aaca3fa7a205d3675f29abf8aa60de5e17c9e9c8d7defcced1483ddd72e</t>
  </si>
  <si>
    <t>1110009155</t>
  </si>
  <si>
    <t>888d6d054cc347e5361623551cb748ddda6b268ae09ecfef9f2bc03bfbd7f88d</t>
  </si>
  <si>
    <t>1110009156</t>
  </si>
  <si>
    <t>7b9926a5d95914cfe9289d426e85258a3974799ab3248e8697bc0b718e2700b0</t>
  </si>
  <si>
    <t>1110009157</t>
  </si>
  <si>
    <t>07c006668fd51627d0977370bceffaa582529bc808ad42500063c9d9fb642bb0</t>
  </si>
  <si>
    <t>1110009158</t>
  </si>
  <si>
    <t>ba01cbc7d3cd031e185fd7610d9c09f07c322cdd29f2b911382f62ef710d47aa</t>
  </si>
  <si>
    <t>1110009159</t>
  </si>
  <si>
    <t>f1d0cb3c3c89c0e0e7fec9f80862f01eb7a76a906045297850ba2ae05a2916db</t>
  </si>
  <si>
    <t>1110009160</t>
  </si>
  <si>
    <t>4352b14400fcf9f8df6de7c25b9b09c7ca38972e304cd2cf2550ee5f4a561a08</t>
  </si>
  <si>
    <t>37AAACP6224A1ZW</t>
  </si>
  <si>
    <t>PRISM JOHNSON LIMITED</t>
  </si>
  <si>
    <t>1003044848</t>
  </si>
  <si>
    <t>Debit Note</t>
  </si>
  <si>
    <t>3769892b0c708b89549dc99ec0707618f2a050b82aa24c7a78dd5283a7a16b6a</t>
  </si>
  <si>
    <t>4</t>
  </si>
  <si>
    <t>SRTN-25/26-105</t>
  </si>
  <si>
    <t>7225012050</t>
  </si>
  <si>
    <t>7225012051</t>
  </si>
  <si>
    <t>7225012052</t>
  </si>
  <si>
    <t>7225012073</t>
  </si>
  <si>
    <t>9025001940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</si>
  <si>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</si>
  <si>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</si>
  <si>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</si>
  <si>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</si>
  <si>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</si>
  <si>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</si>
  <si>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</si>
  <si>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</si>
  <si>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</si>
  <si>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</si>
  <si>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</si>
  <si>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</si>
  <si>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</si>
  <si>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</si>
  <si>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</si>
  <si>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</si>
  <si>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</si>
  <si>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</si>
  <si>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</si>
  <si>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</si>
  <si>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</si>
  <si>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</si>
  <si>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</si>
  <si>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</si>
  <si>
    <t>ITC Rejected for ISD Credits</t>
  </si>
  <si>
    <t>ITC Rejected for amendments of ISD Credits received</t>
  </si>
  <si>
    <t>Total ITC</t>
  </si>
  <si>
    <t>Ineligible ITC</t>
  </si>
  <si>
    <t>Net ITC</t>
  </si>
  <si>
    <t>RCM on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</si>
</sst>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  <font>
      <b/>
      <sz val="10"/>
      <color rgb="FFFFFFFF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  <fill>
      <patternFill patternType="solid">
        <fgColor rgb="FFF3F3F3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54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13" borderId="0" xfId="0" applyFont="1" applyFill="1" applyAlignment="1">
      <alignment horizontal="left"/>
    </xf>
    <xf numFmtId="2" fontId="13" fillId="13" borderId="0" xfId="0" applyNumberFormat="1" applyFont="1" applyFill="1" applyAlignment="1">
      <alignment horizontal="right"/>
    </xf>
    <xf numFmtId="0" fontId="1" fillId="2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top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0" xfId="0" applyFont="1"/>
    <xf numFmtId="14" fontId="13" fillId="0" borderId="0" xfId="0" applyNumberFormat="1" applyFont="1" applyAlignment="1">
      <alignment horizontal="left"/>
    </xf>
    <xf numFmtId="43" fontId="13" fillId="0" borderId="0" xfId="1" applyFont="1" applyAlignment="1">
      <alignment horizontal="right"/>
    </xf>
    <xf numFmtId="43" fontId="0" fillId="0" borderId="0" xfId="1" applyFont="1" applyAlignment="1"/>
    <xf numFmtId="43" fontId="16" fillId="0" borderId="2" xfId="1" applyFont="1" applyBorder="1" applyAlignment="1"/>
    <xf numFmtId="0" fontId="13" fillId="14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/>
    <xf numFmtId="43" fontId="0" fillId="0" borderId="0" xfId="0" applyNumberFormat="1"/>
    <xf numFmtId="43" fontId="16" fillId="0" borderId="2" xfId="0" applyNumberFormat="1" applyFont="1" applyBorder="1"/>
  </cellXfs>
  <cellStyles count="2">
    <cellStyle name="Comma" xfId="1" builtinId="3"/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1"/>
  <sheetViews>
    <sheetView workbookViewId="0">
      <selection sqref="A1:F3"/>
    </sheetView>
  </sheetViews>
  <sheetFormatPr defaultRowHeight="15"/>
  <cols>
    <col min="1" max="1" width="10.5703125" customWidth="1"/>
    <col min="2" max="2" width="25.140625" customWidth="1"/>
    <col min="3" max="3" width="26.42578125" customWidth="1"/>
    <col min="4" max="4" width="29" customWidth="1"/>
    <col min="5" max="5" width="22.140625" customWidth="1"/>
    <col min="6" max="6" width="23.7109375" customWidth="1"/>
  </cols>
  <sheetData>
    <row r="1" spans="1:6">
      <c r="A1" s="28" t="s">
        <v>0</v>
      </c>
      <c r="B1" s="28"/>
      <c r="C1" s="28"/>
      <c r="D1" s="28"/>
      <c r="E1" s="28"/>
      <c r="F1" s="28"/>
    </row>
    <row r="2" spans="1:6">
      <c r="A2" s="28"/>
      <c r="B2" s="28"/>
      <c r="C2" s="28"/>
      <c r="D2" s="28"/>
      <c r="E2" s="28"/>
      <c r="F2" s="28"/>
    </row>
    <row r="3" spans="1:6">
      <c r="A3" s="28"/>
      <c r="B3" s="28"/>
      <c r="C3" s="28"/>
      <c r="D3" s="28"/>
      <c r="E3" s="28"/>
      <c r="F3" s="28"/>
    </row>
    <row r="4" spans="1:6">
      <c r="A4" s="29" t="s">
        <v>1</v>
      </c>
      <c r="B4" s="29"/>
      <c r="C4" s="30" t="s">
        <v>2</v>
      </c>
      <c r="D4" s="30"/>
      <c r="E4" s="30"/>
      <c r="F4" s="30"/>
    </row>
    <row r="5" spans="1:6">
      <c r="A5" s="29" t="s">
        <v>3</v>
      </c>
      <c r="B5" s="29"/>
      <c r="C5" s="30" t="s">
        <v>4</v>
      </c>
      <c r="D5" s="30"/>
      <c r="E5" s="30"/>
      <c r="F5" s="30"/>
    </row>
    <row r="6" spans="1:6">
      <c r="A6" s="31" t="s">
        <v>5</v>
      </c>
      <c r="B6" s="31"/>
      <c r="C6" s="32" t="s">
        <v>6</v>
      </c>
      <c r="D6" s="32"/>
      <c r="E6" s="32"/>
      <c r="F6" s="32"/>
    </row>
    <row r="7" spans="1:6">
      <c r="A7" s="31" t="s">
        <v>7</v>
      </c>
      <c r="B7" s="31"/>
      <c r="C7" s="32" t="s">
        <v>8</v>
      </c>
      <c r="D7" s="32"/>
      <c r="E7" s="32"/>
      <c r="F7" s="32"/>
    </row>
    <row r="8" spans="1:6">
      <c r="A8" s="31" t="s">
        <v>9</v>
      </c>
      <c r="B8" s="31"/>
      <c r="C8" s="32" t="s">
        <v>8</v>
      </c>
      <c r="D8" s="32"/>
      <c r="E8" s="32"/>
      <c r="F8" s="32"/>
    </row>
    <row r="9" spans="1:6">
      <c r="A9" s="31" t="s">
        <v>10</v>
      </c>
      <c r="B9" s="31"/>
      <c r="C9" s="32" t="s">
        <v>11</v>
      </c>
      <c r="D9" s="32"/>
      <c r="E9" s="32"/>
      <c r="F9" s="32"/>
    </row>
    <row r="11" spans="1:6">
      <c r="A11" s="33" t="s">
        <v>12</v>
      </c>
      <c r="B11" s="33"/>
      <c r="C11" s="33"/>
      <c r="D11" s="33"/>
      <c r="E11" s="33"/>
      <c r="F11" s="33"/>
    </row>
    <row r="12" spans="1:6" ht="30">
      <c r="A12" s="1" t="s">
        <v>13</v>
      </c>
      <c r="B12" s="1" t="s">
        <v>14</v>
      </c>
      <c r="C12" s="1" t="s">
        <v>15</v>
      </c>
      <c r="D12" s="33" t="s">
        <v>16</v>
      </c>
      <c r="E12" s="33"/>
      <c r="F12" s="33"/>
    </row>
    <row r="13" spans="1:6">
      <c r="A13" s="35" t="s">
        <v>17</v>
      </c>
      <c r="B13" s="36" t="s">
        <v>18</v>
      </c>
      <c r="C13" s="2" t="s">
        <v>19</v>
      </c>
      <c r="D13" s="34" t="s">
        <v>20</v>
      </c>
      <c r="E13" s="34"/>
      <c r="F13" s="34"/>
    </row>
    <row r="14" spans="1:6">
      <c r="A14" s="35"/>
      <c r="B14" s="36"/>
      <c r="C14" s="2" t="s">
        <v>21</v>
      </c>
      <c r="D14" s="34" t="s">
        <v>22</v>
      </c>
      <c r="E14" s="34"/>
      <c r="F14" s="34"/>
    </row>
    <row r="15" spans="1:6">
      <c r="A15" s="35"/>
      <c r="B15" s="36"/>
      <c r="C15" s="2" t="s">
        <v>23</v>
      </c>
      <c r="D15" s="34" t="s">
        <v>23</v>
      </c>
      <c r="E15" s="34"/>
      <c r="F15" s="34"/>
    </row>
    <row r="16" spans="1:6">
      <c r="A16" s="35"/>
      <c r="B16" s="36"/>
      <c r="C16" s="2" t="s">
        <v>24</v>
      </c>
      <c r="D16" s="34" t="s">
        <v>25</v>
      </c>
      <c r="E16" s="34"/>
      <c r="F16" s="34"/>
    </row>
    <row r="17" spans="1:6">
      <c r="A17" s="35"/>
      <c r="B17" s="36"/>
      <c r="C17" s="2" t="s">
        <v>26</v>
      </c>
      <c r="D17" s="34" t="s">
        <v>27</v>
      </c>
      <c r="E17" s="34"/>
      <c r="F17" s="34"/>
    </row>
    <row r="18" spans="1:6">
      <c r="A18" s="35"/>
      <c r="B18" s="36"/>
      <c r="C18" s="2" t="s">
        <v>28</v>
      </c>
      <c r="D18" s="34" t="s">
        <v>29</v>
      </c>
      <c r="E18" s="34"/>
      <c r="F18" s="34"/>
    </row>
    <row r="19" spans="1:6">
      <c r="A19" s="35"/>
      <c r="B19" s="36"/>
      <c r="C19" s="2" t="s">
        <v>30</v>
      </c>
      <c r="D19" s="34" t="s">
        <v>31</v>
      </c>
      <c r="E19" s="34"/>
      <c r="F19" s="34"/>
    </row>
    <row r="20" spans="1:6" ht="30">
      <c r="A20" s="35"/>
      <c r="B20" s="36"/>
      <c r="C20" s="2" t="s">
        <v>32</v>
      </c>
      <c r="D20" s="34" t="s">
        <v>33</v>
      </c>
      <c r="E20" s="34"/>
      <c r="F20" s="34"/>
    </row>
    <row r="21" spans="1:6">
      <c r="A21" s="35"/>
      <c r="B21" s="36"/>
      <c r="C21" s="2" t="s">
        <v>34</v>
      </c>
      <c r="D21" s="34" t="s">
        <v>34</v>
      </c>
      <c r="E21" s="34"/>
      <c r="F21" s="34"/>
    </row>
    <row r="22" spans="1:6">
      <c r="A22" s="35"/>
      <c r="B22" s="36"/>
      <c r="C22" s="2" t="s">
        <v>35</v>
      </c>
      <c r="D22" s="34" t="s">
        <v>36</v>
      </c>
      <c r="E22" s="34"/>
      <c r="F22" s="34"/>
    </row>
    <row r="23" spans="1:6">
      <c r="A23" s="35"/>
      <c r="B23" s="36"/>
      <c r="C23" s="2" t="s">
        <v>37</v>
      </c>
      <c r="D23" s="34" t="s">
        <v>38</v>
      </c>
      <c r="E23" s="34"/>
      <c r="F23" s="34"/>
    </row>
    <row r="24" spans="1:6">
      <c r="A24" s="35"/>
      <c r="B24" s="36"/>
      <c r="C24" s="2" t="s">
        <v>39</v>
      </c>
      <c r="D24" s="34" t="s">
        <v>40</v>
      </c>
      <c r="E24" s="34"/>
      <c r="F24" s="34"/>
    </row>
    <row r="25" spans="1:6">
      <c r="A25" s="35"/>
      <c r="B25" s="36"/>
      <c r="C25" s="2" t="s">
        <v>41</v>
      </c>
      <c r="D25" s="34" t="s">
        <v>42</v>
      </c>
      <c r="E25" s="34"/>
      <c r="F25" s="34"/>
    </row>
    <row r="26" spans="1:6">
      <c r="A26" s="35"/>
      <c r="B26" s="36"/>
      <c r="C26" s="2" t="s">
        <v>43</v>
      </c>
      <c r="D26" s="34" t="s">
        <v>44</v>
      </c>
      <c r="E26" s="34"/>
      <c r="F26" s="34"/>
    </row>
    <row r="27" spans="1:6" ht="30">
      <c r="A27" s="35"/>
      <c r="B27" s="36"/>
      <c r="C27" s="2" t="s">
        <v>45</v>
      </c>
      <c r="D27" s="34" t="s">
        <v>46</v>
      </c>
      <c r="E27" s="34"/>
      <c r="F27" s="34"/>
    </row>
    <row r="28" spans="1:6">
      <c r="A28" s="35"/>
      <c r="B28" s="36"/>
      <c r="C28" s="2" t="s">
        <v>47</v>
      </c>
      <c r="D28" s="34" t="s">
        <v>48</v>
      </c>
      <c r="E28" s="34"/>
      <c r="F28" s="34"/>
    </row>
    <row r="29" spans="1:6">
      <c r="A29" s="35"/>
      <c r="B29" s="36"/>
      <c r="C29" s="2" t="s">
        <v>49</v>
      </c>
      <c r="D29" s="34" t="s">
        <v>50</v>
      </c>
      <c r="E29" s="34"/>
      <c r="F29" s="34"/>
    </row>
    <row r="30" spans="1:6">
      <c r="A30" s="35"/>
      <c r="B30" s="36"/>
      <c r="C30" s="2" t="s">
        <v>51</v>
      </c>
      <c r="D30" s="34" t="s">
        <v>52</v>
      </c>
      <c r="E30" s="34"/>
      <c r="F30" s="34"/>
    </row>
    <row r="31" spans="1:6">
      <c r="A31" s="35"/>
      <c r="B31" s="36"/>
      <c r="C31" s="2" t="s">
        <v>53</v>
      </c>
      <c r="D31" s="34" t="s">
        <v>54</v>
      </c>
      <c r="E31" s="34"/>
      <c r="F31" s="34"/>
    </row>
    <row r="32" spans="1:6">
      <c r="A32" s="35"/>
      <c r="B32" s="36"/>
      <c r="C32" s="2" t="s">
        <v>55</v>
      </c>
      <c r="D32" s="34" t="s">
        <v>56</v>
      </c>
      <c r="E32" s="34"/>
      <c r="F32" s="34"/>
    </row>
    <row r="33" spans="1:6">
      <c r="A33" s="35"/>
      <c r="B33" s="36"/>
      <c r="C33" s="2" t="s">
        <v>57</v>
      </c>
      <c r="D33" s="34" t="s">
        <v>58</v>
      </c>
      <c r="E33" s="34"/>
      <c r="F33" s="34"/>
    </row>
    <row r="34" spans="1:6" ht="30">
      <c r="A34" s="35" t="s">
        <v>59</v>
      </c>
      <c r="B34" s="36" t="s">
        <v>60</v>
      </c>
      <c r="C34" s="2" t="s">
        <v>61</v>
      </c>
      <c r="D34" s="34" t="s">
        <v>62</v>
      </c>
      <c r="E34" s="34"/>
      <c r="F34" s="34"/>
    </row>
    <row r="35" spans="1:6">
      <c r="A35" s="35"/>
      <c r="B35" s="36"/>
      <c r="C35" s="2" t="s">
        <v>63</v>
      </c>
      <c r="D35" s="34" t="s">
        <v>64</v>
      </c>
      <c r="E35" s="34"/>
      <c r="F35" s="34"/>
    </row>
    <row r="36" spans="1:6">
      <c r="A36" s="35"/>
      <c r="B36" s="36"/>
      <c r="C36" s="2" t="s">
        <v>19</v>
      </c>
      <c r="D36" s="34" t="s">
        <v>20</v>
      </c>
      <c r="E36" s="34"/>
      <c r="F36" s="34"/>
    </row>
    <row r="37" spans="1:6">
      <c r="A37" s="35"/>
      <c r="B37" s="36"/>
      <c r="C37" s="2" t="s">
        <v>21</v>
      </c>
      <c r="D37" s="34" t="s">
        <v>65</v>
      </c>
      <c r="E37" s="34"/>
      <c r="F37" s="34"/>
    </row>
    <row r="38" spans="1:6">
      <c r="A38" s="35"/>
      <c r="B38" s="36"/>
      <c r="C38" s="2" t="s">
        <v>23</v>
      </c>
      <c r="D38" s="34" t="s">
        <v>66</v>
      </c>
      <c r="E38" s="34"/>
      <c r="F38" s="34"/>
    </row>
    <row r="39" spans="1:6">
      <c r="A39" s="35"/>
      <c r="B39" s="36"/>
      <c r="C39" s="2" t="s">
        <v>24</v>
      </c>
      <c r="D39" s="34" t="s">
        <v>25</v>
      </c>
      <c r="E39" s="34"/>
      <c r="F39" s="34"/>
    </row>
    <row r="40" spans="1:6">
      <c r="A40" s="35"/>
      <c r="B40" s="36"/>
      <c r="C40" s="2" t="s">
        <v>26</v>
      </c>
      <c r="D40" s="34" t="s">
        <v>27</v>
      </c>
      <c r="E40" s="34"/>
      <c r="F40" s="34"/>
    </row>
    <row r="41" spans="1:6">
      <c r="A41" s="35"/>
      <c r="B41" s="36"/>
      <c r="C41" s="2" t="s">
        <v>28</v>
      </c>
      <c r="D41" s="34" t="s">
        <v>29</v>
      </c>
      <c r="E41" s="34"/>
      <c r="F41" s="34"/>
    </row>
    <row r="42" spans="1:6">
      <c r="A42" s="35"/>
      <c r="B42" s="36"/>
      <c r="C42" s="2" t="s">
        <v>30</v>
      </c>
      <c r="D42" s="34" t="s">
        <v>67</v>
      </c>
      <c r="E42" s="34"/>
      <c r="F42" s="34"/>
    </row>
    <row r="43" spans="1:6" ht="30">
      <c r="A43" s="35"/>
      <c r="B43" s="36"/>
      <c r="C43" s="2" t="s">
        <v>32</v>
      </c>
      <c r="D43" s="34" t="s">
        <v>68</v>
      </c>
      <c r="E43" s="34"/>
      <c r="F43" s="34"/>
    </row>
    <row r="44" spans="1:6">
      <c r="A44" s="35"/>
      <c r="B44" s="36"/>
      <c r="C44" s="2" t="s">
        <v>34</v>
      </c>
      <c r="D44" s="34" t="s">
        <v>69</v>
      </c>
      <c r="E44" s="34"/>
      <c r="F44" s="34"/>
    </row>
    <row r="45" spans="1:6">
      <c r="A45" s="35"/>
      <c r="B45" s="36"/>
      <c r="C45" s="2" t="s">
        <v>35</v>
      </c>
      <c r="D45" s="34" t="s">
        <v>36</v>
      </c>
      <c r="E45" s="34"/>
      <c r="F45" s="34"/>
    </row>
    <row r="46" spans="1:6">
      <c r="A46" s="35"/>
      <c r="B46" s="36"/>
      <c r="C46" s="2" t="s">
        <v>37</v>
      </c>
      <c r="D46" s="34" t="s">
        <v>38</v>
      </c>
      <c r="E46" s="34"/>
      <c r="F46" s="34"/>
    </row>
    <row r="47" spans="1:6">
      <c r="A47" s="35"/>
      <c r="B47" s="36"/>
      <c r="C47" s="2" t="s">
        <v>39</v>
      </c>
      <c r="D47" s="34" t="s">
        <v>40</v>
      </c>
      <c r="E47" s="34"/>
      <c r="F47" s="34"/>
    </row>
    <row r="48" spans="1:6">
      <c r="A48" s="35"/>
      <c r="B48" s="36"/>
      <c r="C48" s="2" t="s">
        <v>41</v>
      </c>
      <c r="D48" s="34" t="s">
        <v>42</v>
      </c>
      <c r="E48" s="34"/>
      <c r="F48" s="34"/>
    </row>
    <row r="49" spans="1:6" ht="30">
      <c r="A49" s="35"/>
      <c r="B49" s="36"/>
      <c r="C49" s="2" t="s">
        <v>70</v>
      </c>
      <c r="D49" s="34" t="s">
        <v>71</v>
      </c>
      <c r="E49" s="34"/>
      <c r="F49" s="34"/>
    </row>
    <row r="50" spans="1:6">
      <c r="A50" s="35"/>
      <c r="B50" s="36"/>
      <c r="C50" s="2" t="s">
        <v>35</v>
      </c>
      <c r="D50" s="34" t="s">
        <v>72</v>
      </c>
      <c r="E50" s="34"/>
      <c r="F50" s="34"/>
    </row>
    <row r="51" spans="1:6">
      <c r="A51" s="35"/>
      <c r="B51" s="36"/>
      <c r="C51" s="2" t="s">
        <v>37</v>
      </c>
      <c r="D51" s="34" t="s">
        <v>73</v>
      </c>
      <c r="E51" s="34"/>
      <c r="F51" s="34"/>
    </row>
    <row r="52" spans="1:6">
      <c r="A52" s="35"/>
      <c r="B52" s="36"/>
      <c r="C52" s="2" t="s">
        <v>39</v>
      </c>
      <c r="D52" s="34" t="s">
        <v>74</v>
      </c>
      <c r="E52" s="34"/>
      <c r="F52" s="34"/>
    </row>
    <row r="53" spans="1:6">
      <c r="A53" s="35"/>
      <c r="B53" s="36"/>
      <c r="C53" s="2" t="s">
        <v>41</v>
      </c>
      <c r="D53" s="34" t="s">
        <v>75</v>
      </c>
      <c r="E53" s="34"/>
      <c r="F53" s="34"/>
    </row>
    <row r="54" spans="1:6">
      <c r="A54" s="35"/>
      <c r="B54" s="36"/>
      <c r="C54" s="2" t="s">
        <v>43</v>
      </c>
      <c r="D54" s="34" t="s">
        <v>44</v>
      </c>
      <c r="E54" s="34"/>
      <c r="F54" s="34"/>
    </row>
    <row r="55" spans="1:6" ht="30">
      <c r="A55" s="35"/>
      <c r="B55" s="36"/>
      <c r="C55" s="2" t="s">
        <v>45</v>
      </c>
      <c r="D55" s="34" t="s">
        <v>46</v>
      </c>
      <c r="E55" s="34"/>
      <c r="F55" s="34"/>
    </row>
    <row r="56" spans="1:6">
      <c r="A56" s="35"/>
      <c r="B56" s="36"/>
      <c r="C56" s="2" t="s">
        <v>47</v>
      </c>
      <c r="D56" s="34" t="s">
        <v>76</v>
      </c>
      <c r="E56" s="34"/>
      <c r="F56" s="34"/>
    </row>
    <row r="57" spans="1:6">
      <c r="A57" s="35"/>
      <c r="B57" s="36"/>
      <c r="C57" s="2" t="s">
        <v>49</v>
      </c>
      <c r="D57" s="34" t="s">
        <v>50</v>
      </c>
      <c r="E57" s="34"/>
      <c r="F57" s="34"/>
    </row>
    <row r="58" spans="1:6">
      <c r="A58" s="35"/>
      <c r="B58" s="36"/>
      <c r="C58" s="2" t="s">
        <v>51</v>
      </c>
      <c r="D58" s="34" t="s">
        <v>52</v>
      </c>
      <c r="E58" s="34"/>
      <c r="F58" s="34"/>
    </row>
    <row r="59" spans="1:6">
      <c r="A59" s="35" t="s">
        <v>77</v>
      </c>
      <c r="B59" s="36" t="s">
        <v>78</v>
      </c>
      <c r="C59" s="2" t="s">
        <v>19</v>
      </c>
      <c r="D59" s="34" t="s">
        <v>20</v>
      </c>
      <c r="E59" s="34"/>
      <c r="F59" s="34"/>
    </row>
    <row r="60" spans="1:6">
      <c r="A60" s="35"/>
      <c r="B60" s="36"/>
      <c r="C60" s="2" t="s">
        <v>21</v>
      </c>
      <c r="D60" s="34" t="s">
        <v>79</v>
      </c>
      <c r="E60" s="34"/>
      <c r="F60" s="34"/>
    </row>
    <row r="61" spans="1:6">
      <c r="A61" s="35"/>
      <c r="B61" s="36"/>
      <c r="C61" s="2" t="s">
        <v>80</v>
      </c>
      <c r="D61" s="34" t="s">
        <v>81</v>
      </c>
      <c r="E61" s="34"/>
      <c r="F61" s="34"/>
    </row>
    <row r="62" spans="1:6">
      <c r="A62" s="35"/>
      <c r="B62" s="36"/>
      <c r="C62" s="2" t="s">
        <v>82</v>
      </c>
      <c r="D62" s="34" t="s">
        <v>83</v>
      </c>
      <c r="E62" s="34"/>
      <c r="F62" s="34"/>
    </row>
    <row r="63" spans="1:6">
      <c r="A63" s="35"/>
      <c r="B63" s="36"/>
      <c r="C63" s="2" t="s">
        <v>84</v>
      </c>
      <c r="D63" s="34" t="s">
        <v>85</v>
      </c>
      <c r="E63" s="34"/>
      <c r="F63" s="34"/>
    </row>
    <row r="64" spans="1:6">
      <c r="A64" s="35"/>
      <c r="B64" s="36"/>
      <c r="C64" s="2" t="s">
        <v>86</v>
      </c>
      <c r="D64" s="34" t="s">
        <v>87</v>
      </c>
      <c r="E64" s="34"/>
      <c r="F64" s="34"/>
    </row>
    <row r="65" spans="1:6">
      <c r="A65" s="35"/>
      <c r="B65" s="36"/>
      <c r="C65" s="2" t="s">
        <v>88</v>
      </c>
      <c r="D65" s="34" t="s">
        <v>89</v>
      </c>
      <c r="E65" s="34"/>
      <c r="F65" s="34"/>
    </row>
    <row r="66" spans="1:6">
      <c r="A66" s="35"/>
      <c r="B66" s="36"/>
      <c r="C66" s="2" t="s">
        <v>30</v>
      </c>
      <c r="D66" s="34" t="s">
        <v>67</v>
      </c>
      <c r="E66" s="34"/>
      <c r="F66" s="34"/>
    </row>
    <row r="67" spans="1:6" ht="30">
      <c r="A67" s="35"/>
      <c r="B67" s="36"/>
      <c r="C67" s="2" t="s">
        <v>32</v>
      </c>
      <c r="D67" s="34" t="s">
        <v>68</v>
      </c>
      <c r="E67" s="34"/>
      <c r="F67" s="34"/>
    </row>
    <row r="68" spans="1:6">
      <c r="A68" s="35"/>
      <c r="B68" s="36"/>
      <c r="C68" s="2" t="s">
        <v>34</v>
      </c>
      <c r="D68" s="34" t="s">
        <v>69</v>
      </c>
      <c r="E68" s="34"/>
      <c r="F68" s="34"/>
    </row>
    <row r="69" spans="1:6">
      <c r="A69" s="35"/>
      <c r="B69" s="36"/>
      <c r="C69" s="2" t="s">
        <v>35</v>
      </c>
      <c r="D69" s="34" t="s">
        <v>36</v>
      </c>
      <c r="E69" s="34"/>
      <c r="F69" s="34"/>
    </row>
    <row r="70" spans="1:6">
      <c r="A70" s="35"/>
      <c r="B70" s="36"/>
      <c r="C70" s="2" t="s">
        <v>37</v>
      </c>
      <c r="D70" s="34" t="s">
        <v>38</v>
      </c>
      <c r="E70" s="34"/>
      <c r="F70" s="34"/>
    </row>
    <row r="71" spans="1:6">
      <c r="A71" s="35"/>
      <c r="B71" s="36"/>
      <c r="C71" s="2" t="s">
        <v>39</v>
      </c>
      <c r="D71" s="34" t="s">
        <v>40</v>
      </c>
      <c r="E71" s="34"/>
      <c r="F71" s="34"/>
    </row>
    <row r="72" spans="1:6">
      <c r="A72" s="35"/>
      <c r="B72" s="36"/>
      <c r="C72" s="2" t="s">
        <v>41</v>
      </c>
      <c r="D72" s="34" t="s">
        <v>42</v>
      </c>
      <c r="E72" s="34"/>
      <c r="F72" s="34"/>
    </row>
    <row r="73" spans="1:6" ht="30">
      <c r="A73" s="35"/>
      <c r="B73" s="36"/>
      <c r="C73" s="2" t="s">
        <v>70</v>
      </c>
      <c r="D73" s="34" t="s">
        <v>71</v>
      </c>
      <c r="E73" s="34"/>
      <c r="F73" s="34"/>
    </row>
    <row r="74" spans="1:6">
      <c r="A74" s="35"/>
      <c r="B74" s="36"/>
      <c r="C74" s="2" t="s">
        <v>35</v>
      </c>
      <c r="D74" s="34" t="s">
        <v>72</v>
      </c>
      <c r="E74" s="34"/>
      <c r="F74" s="34"/>
    </row>
    <row r="75" spans="1:6">
      <c r="A75" s="35"/>
      <c r="B75" s="36"/>
      <c r="C75" s="2" t="s">
        <v>37</v>
      </c>
      <c r="D75" s="34" t="s">
        <v>73</v>
      </c>
      <c r="E75" s="34"/>
      <c r="F75" s="34"/>
    </row>
    <row r="76" spans="1:6">
      <c r="A76" s="35"/>
      <c r="B76" s="36"/>
      <c r="C76" s="2" t="s">
        <v>39</v>
      </c>
      <c r="D76" s="34" t="s">
        <v>74</v>
      </c>
      <c r="E76" s="34"/>
      <c r="F76" s="34"/>
    </row>
    <row r="77" spans="1:6">
      <c r="A77" s="35"/>
      <c r="B77" s="36"/>
      <c r="C77" s="2" t="s">
        <v>41</v>
      </c>
      <c r="D77" s="34" t="s">
        <v>75</v>
      </c>
      <c r="E77" s="34"/>
      <c r="F77" s="34"/>
    </row>
    <row r="78" spans="1:6">
      <c r="A78" s="35"/>
      <c r="B78" s="36"/>
      <c r="C78" s="2" t="s">
        <v>43</v>
      </c>
      <c r="D78" s="34" t="s">
        <v>44</v>
      </c>
      <c r="E78" s="34"/>
      <c r="F78" s="34"/>
    </row>
    <row r="79" spans="1:6" ht="30">
      <c r="A79" s="35"/>
      <c r="B79" s="36"/>
      <c r="C79" s="2" t="s">
        <v>45</v>
      </c>
      <c r="D79" s="34" t="s">
        <v>46</v>
      </c>
      <c r="E79" s="34"/>
      <c r="F79" s="34"/>
    </row>
    <row r="80" spans="1:6">
      <c r="A80" s="35"/>
      <c r="B80" s="36"/>
      <c r="C80" s="2" t="s">
        <v>47</v>
      </c>
      <c r="D80" s="34" t="s">
        <v>76</v>
      </c>
      <c r="E80" s="34"/>
      <c r="F80" s="34"/>
    </row>
    <row r="81" spans="1:6">
      <c r="A81" s="35"/>
      <c r="B81" s="36"/>
      <c r="C81" s="2" t="s">
        <v>49</v>
      </c>
      <c r="D81" s="34" t="s">
        <v>50</v>
      </c>
      <c r="E81" s="34"/>
      <c r="F81" s="34"/>
    </row>
    <row r="82" spans="1:6">
      <c r="A82" s="35"/>
      <c r="B82" s="36"/>
      <c r="C82" s="2" t="s">
        <v>51</v>
      </c>
      <c r="D82" s="34" t="s">
        <v>52</v>
      </c>
      <c r="E82" s="34"/>
      <c r="F82" s="34"/>
    </row>
    <row r="83" spans="1:6">
      <c r="A83" s="35"/>
      <c r="B83" s="36"/>
      <c r="C83" s="2" t="s">
        <v>53</v>
      </c>
      <c r="D83" s="34" t="s">
        <v>54</v>
      </c>
      <c r="E83" s="34"/>
      <c r="F83" s="34"/>
    </row>
    <row r="84" spans="1:6">
      <c r="A84" s="35"/>
      <c r="B84" s="36"/>
      <c r="C84" s="2" t="s">
        <v>55</v>
      </c>
      <c r="D84" s="34" t="s">
        <v>56</v>
      </c>
      <c r="E84" s="34"/>
      <c r="F84" s="34"/>
    </row>
    <row r="85" spans="1:6">
      <c r="A85" s="35"/>
      <c r="B85" s="36"/>
      <c r="C85" s="2" t="s">
        <v>57</v>
      </c>
      <c r="D85" s="34" t="s">
        <v>58</v>
      </c>
      <c r="E85" s="34"/>
      <c r="F85" s="34"/>
    </row>
    <row r="86" spans="1:6">
      <c r="A86" s="35" t="s">
        <v>90</v>
      </c>
      <c r="B86" s="36" t="s">
        <v>91</v>
      </c>
      <c r="C86" s="2" t="s">
        <v>92</v>
      </c>
      <c r="D86" s="34" t="s">
        <v>93</v>
      </c>
      <c r="E86" s="34"/>
      <c r="F86" s="34"/>
    </row>
    <row r="87" spans="1:6">
      <c r="A87" s="35"/>
      <c r="B87" s="36"/>
      <c r="C87" s="2" t="s">
        <v>94</v>
      </c>
      <c r="D87" s="34" t="s">
        <v>95</v>
      </c>
      <c r="E87" s="34"/>
      <c r="F87" s="34"/>
    </row>
    <row r="88" spans="1:6">
      <c r="A88" s="35"/>
      <c r="B88" s="36"/>
      <c r="C88" s="2" t="s">
        <v>96</v>
      </c>
      <c r="D88" s="34" t="s">
        <v>97</v>
      </c>
      <c r="E88" s="34"/>
      <c r="F88" s="34"/>
    </row>
    <row r="89" spans="1:6">
      <c r="A89" s="35"/>
      <c r="B89" s="36"/>
      <c r="C89" s="2" t="s">
        <v>19</v>
      </c>
      <c r="D89" s="34" t="s">
        <v>20</v>
      </c>
      <c r="E89" s="34"/>
      <c r="F89" s="34"/>
    </row>
    <row r="90" spans="1:6">
      <c r="A90" s="35"/>
      <c r="B90" s="36"/>
      <c r="C90" s="2" t="s">
        <v>21</v>
      </c>
      <c r="D90" s="34" t="s">
        <v>79</v>
      </c>
      <c r="E90" s="34"/>
      <c r="F90" s="34"/>
    </row>
    <row r="91" spans="1:6">
      <c r="A91" s="35"/>
      <c r="B91" s="36"/>
      <c r="C91" s="2" t="s">
        <v>80</v>
      </c>
      <c r="D91" s="34" t="s">
        <v>81</v>
      </c>
      <c r="E91" s="34"/>
      <c r="F91" s="34"/>
    </row>
    <row r="92" spans="1:6">
      <c r="A92" s="35"/>
      <c r="B92" s="36"/>
      <c r="C92" s="2" t="s">
        <v>82</v>
      </c>
      <c r="D92" s="34" t="s">
        <v>93</v>
      </c>
      <c r="E92" s="34"/>
      <c r="F92" s="34"/>
    </row>
    <row r="93" spans="1:6">
      <c r="A93" s="35"/>
      <c r="B93" s="36"/>
      <c r="C93" s="2" t="s">
        <v>84</v>
      </c>
      <c r="D93" s="34" t="s">
        <v>85</v>
      </c>
      <c r="E93" s="34"/>
      <c r="F93" s="34"/>
    </row>
    <row r="94" spans="1:6">
      <c r="A94" s="35"/>
      <c r="B94" s="36"/>
      <c r="C94" s="2" t="s">
        <v>86</v>
      </c>
      <c r="D94" s="34" t="s">
        <v>87</v>
      </c>
      <c r="E94" s="34"/>
      <c r="F94" s="34"/>
    </row>
    <row r="95" spans="1:6">
      <c r="A95" s="35"/>
      <c r="B95" s="36"/>
      <c r="C95" s="2" t="s">
        <v>88</v>
      </c>
      <c r="D95" s="34" t="s">
        <v>89</v>
      </c>
      <c r="E95" s="34"/>
      <c r="F95" s="34"/>
    </row>
    <row r="96" spans="1:6">
      <c r="A96" s="35"/>
      <c r="B96" s="36"/>
      <c r="C96" s="2" t="s">
        <v>30</v>
      </c>
      <c r="D96" s="34" t="s">
        <v>67</v>
      </c>
      <c r="E96" s="34"/>
      <c r="F96" s="34"/>
    </row>
    <row r="97" spans="1:6" ht="30">
      <c r="A97" s="35"/>
      <c r="B97" s="36"/>
      <c r="C97" s="2" t="s">
        <v>32</v>
      </c>
      <c r="D97" s="34" t="s">
        <v>68</v>
      </c>
      <c r="E97" s="34"/>
      <c r="F97" s="34"/>
    </row>
    <row r="98" spans="1:6">
      <c r="A98" s="35"/>
      <c r="B98" s="36"/>
      <c r="C98" s="2" t="s">
        <v>34</v>
      </c>
      <c r="D98" s="34" t="s">
        <v>69</v>
      </c>
      <c r="E98" s="34"/>
      <c r="F98" s="34"/>
    </row>
    <row r="99" spans="1:6">
      <c r="A99" s="35"/>
      <c r="B99" s="36"/>
      <c r="C99" s="2" t="s">
        <v>35</v>
      </c>
      <c r="D99" s="34" t="s">
        <v>36</v>
      </c>
      <c r="E99" s="34"/>
      <c r="F99" s="34"/>
    </row>
    <row r="100" spans="1:6">
      <c r="A100" s="35"/>
      <c r="B100" s="36"/>
      <c r="C100" s="2" t="s">
        <v>37</v>
      </c>
      <c r="D100" s="34" t="s">
        <v>38</v>
      </c>
      <c r="E100" s="34"/>
      <c r="F100" s="34"/>
    </row>
    <row r="101" spans="1:6">
      <c r="A101" s="35"/>
      <c r="B101" s="36"/>
      <c r="C101" s="2" t="s">
        <v>39</v>
      </c>
      <c r="D101" s="34" t="s">
        <v>40</v>
      </c>
      <c r="E101" s="34"/>
      <c r="F101" s="34"/>
    </row>
    <row r="102" spans="1:6">
      <c r="A102" s="35"/>
      <c r="B102" s="36"/>
      <c r="C102" s="2" t="s">
        <v>41</v>
      </c>
      <c r="D102" s="34" t="s">
        <v>42</v>
      </c>
      <c r="E102" s="34"/>
      <c r="F102" s="34"/>
    </row>
    <row r="103" spans="1:6" ht="30">
      <c r="A103" s="35"/>
      <c r="B103" s="36"/>
      <c r="C103" s="2" t="s">
        <v>70</v>
      </c>
      <c r="D103" s="34" t="s">
        <v>71</v>
      </c>
      <c r="E103" s="34"/>
      <c r="F103" s="34"/>
    </row>
    <row r="104" spans="1:6">
      <c r="A104" s="35"/>
      <c r="B104" s="36"/>
      <c r="C104" s="2" t="s">
        <v>35</v>
      </c>
      <c r="D104" s="34" t="s">
        <v>72</v>
      </c>
      <c r="E104" s="34"/>
      <c r="F104" s="34"/>
    </row>
    <row r="105" spans="1:6">
      <c r="A105" s="35"/>
      <c r="B105" s="36"/>
      <c r="C105" s="2" t="s">
        <v>37</v>
      </c>
      <c r="D105" s="34" t="s">
        <v>73</v>
      </c>
      <c r="E105" s="34"/>
      <c r="F105" s="34"/>
    </row>
    <row r="106" spans="1:6">
      <c r="A106" s="35"/>
      <c r="B106" s="36"/>
      <c r="C106" s="2" t="s">
        <v>39</v>
      </c>
      <c r="D106" s="34" t="s">
        <v>74</v>
      </c>
      <c r="E106" s="34"/>
      <c r="F106" s="34"/>
    </row>
    <row r="107" spans="1:6">
      <c r="A107" s="35"/>
      <c r="B107" s="36"/>
      <c r="C107" s="2" t="s">
        <v>41</v>
      </c>
      <c r="D107" s="34" t="s">
        <v>75</v>
      </c>
      <c r="E107" s="34"/>
      <c r="F107" s="34"/>
    </row>
    <row r="108" spans="1:6">
      <c r="A108" s="35"/>
      <c r="B108" s="36"/>
      <c r="C108" s="2" t="s">
        <v>43</v>
      </c>
      <c r="D108" s="34" t="s">
        <v>44</v>
      </c>
      <c r="E108" s="34"/>
      <c r="F108" s="34"/>
    </row>
    <row r="109" spans="1:6" ht="30">
      <c r="A109" s="35"/>
      <c r="B109" s="36"/>
      <c r="C109" s="2" t="s">
        <v>45</v>
      </c>
      <c r="D109" s="34" t="s">
        <v>46</v>
      </c>
      <c r="E109" s="34"/>
      <c r="F109" s="34"/>
    </row>
    <row r="110" spans="1:6">
      <c r="A110" s="35"/>
      <c r="B110" s="36"/>
      <c r="C110" s="2" t="s">
        <v>47</v>
      </c>
      <c r="D110" s="34" t="s">
        <v>76</v>
      </c>
      <c r="E110" s="34"/>
      <c r="F110" s="34"/>
    </row>
    <row r="111" spans="1:6">
      <c r="A111" s="35"/>
      <c r="B111" s="36"/>
      <c r="C111" s="2" t="s">
        <v>49</v>
      </c>
      <c r="D111" s="34" t="s">
        <v>50</v>
      </c>
      <c r="E111" s="34"/>
      <c r="F111" s="34"/>
    </row>
    <row r="112" spans="1:6">
      <c r="A112" s="35"/>
      <c r="B112" s="36"/>
      <c r="C112" s="2" t="s">
        <v>51</v>
      </c>
      <c r="D112" s="34" t="s">
        <v>52</v>
      </c>
      <c r="E112" s="34"/>
      <c r="F112" s="34"/>
    </row>
    <row r="113" spans="1:6">
      <c r="A113" s="35" t="s">
        <v>98</v>
      </c>
      <c r="B113" s="36" t="s">
        <v>99</v>
      </c>
      <c r="C113" s="2" t="s">
        <v>100</v>
      </c>
      <c r="D113" s="34" t="s">
        <v>101</v>
      </c>
      <c r="E113" s="34"/>
      <c r="F113" s="34"/>
    </row>
    <row r="114" spans="1:6">
      <c r="A114" s="35"/>
      <c r="B114" s="36"/>
      <c r="C114" s="2" t="s">
        <v>21</v>
      </c>
      <c r="D114" s="34" t="s">
        <v>102</v>
      </c>
      <c r="E114" s="34"/>
      <c r="F114" s="34"/>
    </row>
    <row r="115" spans="1:6">
      <c r="A115" s="35"/>
      <c r="B115" s="36"/>
      <c r="C115" s="2" t="s">
        <v>103</v>
      </c>
      <c r="D115" s="34" t="s">
        <v>103</v>
      </c>
      <c r="E115" s="34"/>
      <c r="F115" s="34"/>
    </row>
    <row r="116" spans="1:6">
      <c r="A116" s="35"/>
      <c r="B116" s="36"/>
      <c r="C116" s="2" t="s">
        <v>104</v>
      </c>
      <c r="D116" s="34" t="s">
        <v>105</v>
      </c>
      <c r="E116" s="34"/>
      <c r="F116" s="34"/>
    </row>
    <row r="117" spans="1:6">
      <c r="A117" s="35"/>
      <c r="B117" s="36"/>
      <c r="C117" s="2" t="s">
        <v>106</v>
      </c>
      <c r="D117" s="34" t="s">
        <v>107</v>
      </c>
      <c r="E117" s="34"/>
      <c r="F117" s="34"/>
    </row>
    <row r="118" spans="1:6">
      <c r="A118" s="35"/>
      <c r="B118" s="36"/>
      <c r="C118" s="2" t="s">
        <v>108</v>
      </c>
      <c r="D118" s="34" t="s">
        <v>109</v>
      </c>
      <c r="E118" s="34"/>
      <c r="F118" s="34"/>
    </row>
    <row r="119" spans="1:6">
      <c r="A119" s="35"/>
      <c r="B119" s="36"/>
      <c r="C119" s="2" t="s">
        <v>30</v>
      </c>
      <c r="D119" s="34" t="s">
        <v>110</v>
      </c>
      <c r="E119" s="34"/>
      <c r="F119" s="34"/>
    </row>
    <row r="120" spans="1:6">
      <c r="A120" s="35"/>
      <c r="B120" s="36"/>
      <c r="C120" s="2" t="s">
        <v>34</v>
      </c>
      <c r="D120" s="34" t="s">
        <v>34</v>
      </c>
      <c r="E120" s="34"/>
      <c r="F120" s="34"/>
    </row>
    <row r="121" spans="1:6">
      <c r="A121" s="35"/>
      <c r="B121" s="36"/>
      <c r="C121" s="2" t="s">
        <v>35</v>
      </c>
      <c r="D121" s="34" t="s">
        <v>36</v>
      </c>
      <c r="E121" s="34"/>
      <c r="F121" s="34"/>
    </row>
    <row r="122" spans="1:6">
      <c r="A122" s="35"/>
      <c r="B122" s="36"/>
      <c r="C122" s="2" t="s">
        <v>37</v>
      </c>
      <c r="D122" s="34" t="s">
        <v>38</v>
      </c>
      <c r="E122" s="34"/>
      <c r="F122" s="34"/>
    </row>
    <row r="123" spans="1:6">
      <c r="A123" s="35"/>
      <c r="B123" s="36"/>
      <c r="C123" s="2" t="s">
        <v>39</v>
      </c>
      <c r="D123" s="34" t="s">
        <v>40</v>
      </c>
      <c r="E123" s="34"/>
      <c r="F123" s="34"/>
    </row>
    <row r="124" spans="1:6">
      <c r="A124" s="35"/>
      <c r="B124" s="36"/>
      <c r="C124" s="2" t="s">
        <v>41</v>
      </c>
      <c r="D124" s="34" t="s">
        <v>42</v>
      </c>
      <c r="E124" s="34"/>
      <c r="F124" s="34"/>
    </row>
    <row r="125" spans="1:6">
      <c r="A125" s="35"/>
      <c r="B125" s="36"/>
      <c r="C125" s="2" t="s">
        <v>111</v>
      </c>
      <c r="D125" s="34" t="s">
        <v>112</v>
      </c>
      <c r="E125" s="34"/>
      <c r="F125" s="34"/>
    </row>
    <row r="126" spans="1:6">
      <c r="A126" s="35"/>
      <c r="B126" s="36"/>
      <c r="C126" s="2" t="s">
        <v>113</v>
      </c>
      <c r="D126" s="34" t="s">
        <v>114</v>
      </c>
      <c r="E126" s="34"/>
      <c r="F126" s="34"/>
    </row>
    <row r="127" spans="1:6">
      <c r="A127" s="35"/>
      <c r="B127" s="36"/>
      <c r="C127" s="2" t="s">
        <v>115</v>
      </c>
      <c r="D127" s="34" t="s">
        <v>48</v>
      </c>
      <c r="E127" s="34"/>
      <c r="F127" s="34"/>
    </row>
    <row r="128" spans="1:6">
      <c r="A128" s="35"/>
      <c r="B128" s="36"/>
      <c r="C128" s="2" t="s">
        <v>49</v>
      </c>
      <c r="D128" s="34" t="s">
        <v>50</v>
      </c>
      <c r="E128" s="34"/>
      <c r="F128" s="34"/>
    </row>
    <row r="129" spans="1:6">
      <c r="A129" s="35"/>
      <c r="B129" s="36"/>
      <c r="C129" s="2" t="s">
        <v>53</v>
      </c>
      <c r="D129" s="34" t="s">
        <v>116</v>
      </c>
      <c r="E129" s="34"/>
      <c r="F129" s="34"/>
    </row>
    <row r="130" spans="1:6">
      <c r="A130" s="35"/>
      <c r="B130" s="36"/>
      <c r="C130" s="2" t="s">
        <v>55</v>
      </c>
      <c r="D130" s="34" t="s">
        <v>117</v>
      </c>
      <c r="E130" s="34"/>
      <c r="F130" s="34"/>
    </row>
    <row r="131" spans="1:6">
      <c r="A131" s="35"/>
      <c r="B131" s="36"/>
      <c r="C131" s="2" t="s">
        <v>57</v>
      </c>
      <c r="D131" s="34" t="s">
        <v>118</v>
      </c>
      <c r="E131" s="34"/>
      <c r="F131" s="34"/>
    </row>
    <row r="132" spans="1:6" ht="30">
      <c r="A132" s="35" t="s">
        <v>119</v>
      </c>
      <c r="B132" s="36" t="s">
        <v>120</v>
      </c>
      <c r="C132" s="2" t="s">
        <v>121</v>
      </c>
      <c r="D132" s="34" t="s">
        <v>122</v>
      </c>
      <c r="E132" s="34"/>
      <c r="F132" s="34"/>
    </row>
    <row r="133" spans="1:6" ht="30">
      <c r="A133" s="35"/>
      <c r="B133" s="36"/>
      <c r="C133" s="2" t="s">
        <v>123</v>
      </c>
      <c r="D133" s="34" t="s">
        <v>124</v>
      </c>
      <c r="E133" s="34"/>
      <c r="F133" s="34"/>
    </row>
    <row r="134" spans="1:6">
      <c r="A134" s="35"/>
      <c r="B134" s="36"/>
      <c r="C134" s="2" t="s">
        <v>100</v>
      </c>
      <c r="D134" s="34" t="s">
        <v>101</v>
      </c>
      <c r="E134" s="34"/>
      <c r="F134" s="34"/>
    </row>
    <row r="135" spans="1:6">
      <c r="A135" s="35"/>
      <c r="B135" s="36"/>
      <c r="C135" s="2" t="s">
        <v>21</v>
      </c>
      <c r="D135" s="34" t="s">
        <v>125</v>
      </c>
      <c r="E135" s="34"/>
      <c r="F135" s="34"/>
    </row>
    <row r="136" spans="1:6">
      <c r="A136" s="35"/>
      <c r="B136" s="36"/>
      <c r="C136" s="2" t="s">
        <v>103</v>
      </c>
      <c r="D136" s="34" t="s">
        <v>126</v>
      </c>
      <c r="E136" s="34"/>
      <c r="F136" s="34"/>
    </row>
    <row r="137" spans="1:6">
      <c r="A137" s="35"/>
      <c r="B137" s="36"/>
      <c r="C137" s="2" t="s">
        <v>104</v>
      </c>
      <c r="D137" s="34" t="s">
        <v>105</v>
      </c>
      <c r="E137" s="34"/>
      <c r="F137" s="34"/>
    </row>
    <row r="138" spans="1:6">
      <c r="A138" s="35"/>
      <c r="B138" s="36"/>
      <c r="C138" s="2" t="s">
        <v>106</v>
      </c>
      <c r="D138" s="34" t="s">
        <v>107</v>
      </c>
      <c r="E138" s="34"/>
      <c r="F138" s="34"/>
    </row>
    <row r="139" spans="1:6">
      <c r="A139" s="35"/>
      <c r="B139" s="36"/>
      <c r="C139" s="2" t="s">
        <v>108</v>
      </c>
      <c r="D139" s="34" t="s">
        <v>109</v>
      </c>
      <c r="E139" s="34"/>
      <c r="F139" s="34"/>
    </row>
    <row r="140" spans="1:6">
      <c r="A140" s="35"/>
      <c r="B140" s="36"/>
      <c r="C140" s="2" t="s">
        <v>30</v>
      </c>
      <c r="D140" s="34" t="s">
        <v>127</v>
      </c>
      <c r="E140" s="34"/>
      <c r="F140" s="34"/>
    </row>
    <row r="141" spans="1:6">
      <c r="A141" s="35"/>
      <c r="B141" s="36"/>
      <c r="C141" s="2" t="s">
        <v>34</v>
      </c>
      <c r="D141" s="34" t="s">
        <v>69</v>
      </c>
      <c r="E141" s="34"/>
      <c r="F141" s="34"/>
    </row>
    <row r="142" spans="1:6">
      <c r="A142" s="35"/>
      <c r="B142" s="36"/>
      <c r="C142" s="2" t="s">
        <v>35</v>
      </c>
      <c r="D142" s="34" t="s">
        <v>36</v>
      </c>
      <c r="E142" s="34"/>
      <c r="F142" s="34"/>
    </row>
    <row r="143" spans="1:6">
      <c r="A143" s="35"/>
      <c r="B143" s="36"/>
      <c r="C143" s="2" t="s">
        <v>37</v>
      </c>
      <c r="D143" s="34" t="s">
        <v>38</v>
      </c>
      <c r="E143" s="34"/>
      <c r="F143" s="34"/>
    </row>
    <row r="144" spans="1:6">
      <c r="A144" s="35"/>
      <c r="B144" s="36"/>
      <c r="C144" s="2" t="s">
        <v>39</v>
      </c>
      <c r="D144" s="34" t="s">
        <v>40</v>
      </c>
      <c r="E144" s="34"/>
      <c r="F144" s="34"/>
    </row>
    <row r="145" spans="1:6">
      <c r="A145" s="35"/>
      <c r="B145" s="36"/>
      <c r="C145" s="2" t="s">
        <v>41</v>
      </c>
      <c r="D145" s="34" t="s">
        <v>42</v>
      </c>
      <c r="E145" s="34"/>
      <c r="F145" s="34"/>
    </row>
    <row r="146" spans="1:6" ht="30">
      <c r="A146" s="35"/>
      <c r="B146" s="36"/>
      <c r="C146" s="2" t="s">
        <v>70</v>
      </c>
      <c r="D146" s="34" t="s">
        <v>71</v>
      </c>
      <c r="E146" s="34"/>
      <c r="F146" s="34"/>
    </row>
    <row r="147" spans="1:6">
      <c r="A147" s="35"/>
      <c r="B147" s="36"/>
      <c r="C147" s="2" t="s">
        <v>35</v>
      </c>
      <c r="D147" s="34" t="s">
        <v>72</v>
      </c>
      <c r="E147" s="34"/>
      <c r="F147" s="34"/>
    </row>
    <row r="148" spans="1:6">
      <c r="A148" s="35"/>
      <c r="B148" s="36"/>
      <c r="C148" s="2" t="s">
        <v>37</v>
      </c>
      <c r="D148" s="34" t="s">
        <v>73</v>
      </c>
      <c r="E148" s="34"/>
      <c r="F148" s="34"/>
    </row>
    <row r="149" spans="1:6">
      <c r="A149" s="35"/>
      <c r="B149" s="36"/>
      <c r="C149" s="2" t="s">
        <v>39</v>
      </c>
      <c r="D149" s="34" t="s">
        <v>74</v>
      </c>
      <c r="E149" s="34"/>
      <c r="F149" s="34"/>
    </row>
    <row r="150" spans="1:6">
      <c r="A150" s="35"/>
      <c r="B150" s="36"/>
      <c r="C150" s="2" t="s">
        <v>41</v>
      </c>
      <c r="D150" s="34" t="s">
        <v>75</v>
      </c>
      <c r="E150" s="34"/>
      <c r="F150" s="34"/>
    </row>
    <row r="151" spans="1:6">
      <c r="A151" s="35"/>
      <c r="B151" s="36"/>
      <c r="C151" s="2" t="s">
        <v>128</v>
      </c>
      <c r="D151" s="34" t="s">
        <v>112</v>
      </c>
      <c r="E151" s="34"/>
      <c r="F151" s="34"/>
    </row>
    <row r="152" spans="1:6">
      <c r="A152" s="35"/>
      <c r="B152" s="36"/>
      <c r="C152" s="2" t="s">
        <v>113</v>
      </c>
      <c r="D152" s="34" t="s">
        <v>114</v>
      </c>
      <c r="E152" s="34"/>
      <c r="F152" s="34"/>
    </row>
    <row r="153" spans="1:6">
      <c r="A153" s="35"/>
      <c r="B153" s="36"/>
      <c r="C153" s="2" t="s">
        <v>47</v>
      </c>
      <c r="D153" s="34" t="s">
        <v>76</v>
      </c>
      <c r="E153" s="34"/>
      <c r="F153" s="34"/>
    </row>
    <row r="154" spans="1:6">
      <c r="A154" s="35"/>
      <c r="B154" s="36"/>
      <c r="C154" s="2" t="s">
        <v>49</v>
      </c>
      <c r="D154" s="34" t="s">
        <v>50</v>
      </c>
      <c r="E154" s="34"/>
      <c r="F154" s="34"/>
    </row>
    <row r="155" spans="1:6">
      <c r="A155" s="35" t="s">
        <v>129</v>
      </c>
      <c r="B155" s="36" t="s">
        <v>130</v>
      </c>
      <c r="C155" s="2" t="s">
        <v>131</v>
      </c>
      <c r="D155" s="34" t="s">
        <v>132</v>
      </c>
      <c r="E155" s="34"/>
      <c r="F155" s="34"/>
    </row>
    <row r="156" spans="1:6">
      <c r="A156" s="35"/>
      <c r="B156" s="36"/>
      <c r="C156" s="2" t="s">
        <v>133</v>
      </c>
      <c r="D156" s="34" t="s">
        <v>134</v>
      </c>
      <c r="E156" s="34"/>
      <c r="F156" s="34"/>
    </row>
    <row r="157" spans="1:6">
      <c r="A157" s="35"/>
      <c r="B157" s="36"/>
      <c r="C157" s="2" t="s">
        <v>135</v>
      </c>
      <c r="D157" s="34" t="s">
        <v>136</v>
      </c>
      <c r="E157" s="34"/>
      <c r="F157" s="34"/>
    </row>
    <row r="158" spans="1:6">
      <c r="A158" s="35"/>
      <c r="B158" s="36"/>
      <c r="C158" s="2" t="s">
        <v>137</v>
      </c>
      <c r="D158" s="34" t="s">
        <v>138</v>
      </c>
      <c r="E158" s="34"/>
      <c r="F158" s="34"/>
    </row>
    <row r="159" spans="1:6">
      <c r="A159" s="35"/>
      <c r="B159" s="36"/>
      <c r="C159" s="2" t="s">
        <v>139</v>
      </c>
      <c r="D159" s="34" t="s">
        <v>140</v>
      </c>
      <c r="E159" s="34"/>
      <c r="F159" s="34"/>
    </row>
    <row r="160" spans="1:6">
      <c r="A160" s="35"/>
      <c r="B160" s="36"/>
      <c r="C160" s="2" t="s">
        <v>141</v>
      </c>
      <c r="D160" s="34" t="s">
        <v>142</v>
      </c>
      <c r="E160" s="34"/>
      <c r="F160" s="34"/>
    </row>
    <row r="161" spans="1:6">
      <c r="A161" s="35"/>
      <c r="B161" s="36"/>
      <c r="C161" s="2" t="s">
        <v>143</v>
      </c>
      <c r="D161" s="34" t="s">
        <v>142</v>
      </c>
      <c r="E161" s="34"/>
      <c r="F161" s="34"/>
    </row>
    <row r="162" spans="1:6">
      <c r="A162" s="35"/>
      <c r="B162" s="36"/>
      <c r="C162" s="2" t="s">
        <v>35</v>
      </c>
      <c r="D162" s="34" t="s">
        <v>36</v>
      </c>
      <c r="E162" s="34"/>
      <c r="F162" s="34"/>
    </row>
    <row r="163" spans="1:6">
      <c r="A163" s="35"/>
      <c r="B163" s="36"/>
      <c r="C163" s="2" t="s">
        <v>37</v>
      </c>
      <c r="D163" s="34" t="s">
        <v>38</v>
      </c>
      <c r="E163" s="34"/>
      <c r="F163" s="34"/>
    </row>
    <row r="164" spans="1:6">
      <c r="A164" s="35"/>
      <c r="B164" s="36"/>
      <c r="C164" s="2" t="s">
        <v>39</v>
      </c>
      <c r="D164" s="34" t="s">
        <v>40</v>
      </c>
      <c r="E164" s="34"/>
      <c r="F164" s="34"/>
    </row>
    <row r="165" spans="1:6">
      <c r="A165" s="35"/>
      <c r="B165" s="36"/>
      <c r="C165" s="2" t="s">
        <v>41</v>
      </c>
      <c r="D165" s="34" t="s">
        <v>42</v>
      </c>
      <c r="E165" s="34"/>
      <c r="F165" s="34"/>
    </row>
    <row r="166" spans="1:6">
      <c r="A166" s="35"/>
      <c r="B166" s="36"/>
      <c r="C166" s="2" t="s">
        <v>144</v>
      </c>
      <c r="D166" s="34" t="s">
        <v>145</v>
      </c>
      <c r="E166" s="34"/>
      <c r="F166" s="34"/>
    </row>
    <row r="167" spans="1:6">
      <c r="A167" s="35"/>
      <c r="B167" s="36"/>
      <c r="C167" s="2" t="s">
        <v>146</v>
      </c>
      <c r="D167" s="34" t="s">
        <v>147</v>
      </c>
      <c r="E167" s="34"/>
      <c r="F167" s="34"/>
    </row>
    <row r="168" spans="1:6">
      <c r="A168" s="35"/>
      <c r="B168" s="36"/>
      <c r="C168" s="2" t="s">
        <v>148</v>
      </c>
      <c r="D168" s="34" t="s">
        <v>149</v>
      </c>
      <c r="E168" s="34"/>
      <c r="F168" s="34"/>
    </row>
    <row r="169" spans="1:6" ht="30">
      <c r="A169" s="35" t="s">
        <v>150</v>
      </c>
      <c r="B169" s="36" t="s">
        <v>151</v>
      </c>
      <c r="C169" s="2" t="s">
        <v>152</v>
      </c>
      <c r="D169" s="34" t="s">
        <v>136</v>
      </c>
      <c r="E169" s="34"/>
      <c r="F169" s="34"/>
    </row>
    <row r="170" spans="1:6" ht="30">
      <c r="A170" s="35"/>
      <c r="B170" s="36"/>
      <c r="C170" s="2" t="s">
        <v>153</v>
      </c>
      <c r="D170" s="34" t="s">
        <v>154</v>
      </c>
      <c r="E170" s="34"/>
      <c r="F170" s="34"/>
    </row>
    <row r="171" spans="1:6" ht="30">
      <c r="A171" s="35"/>
      <c r="B171" s="36"/>
      <c r="C171" s="2" t="s">
        <v>155</v>
      </c>
      <c r="D171" s="34" t="s">
        <v>156</v>
      </c>
      <c r="E171" s="34"/>
      <c r="F171" s="34"/>
    </row>
    <row r="172" spans="1:6">
      <c r="A172" s="35"/>
      <c r="B172" s="36"/>
      <c r="C172" s="2" t="s">
        <v>131</v>
      </c>
      <c r="D172" s="34" t="s">
        <v>157</v>
      </c>
      <c r="E172" s="34"/>
      <c r="F172" s="34"/>
    </row>
    <row r="173" spans="1:6">
      <c r="A173" s="35"/>
      <c r="B173" s="36"/>
      <c r="C173" s="2" t="s">
        <v>133</v>
      </c>
      <c r="D173" s="34" t="s">
        <v>134</v>
      </c>
      <c r="E173" s="34"/>
      <c r="F173" s="34"/>
    </row>
    <row r="174" spans="1:6">
      <c r="A174" s="35"/>
      <c r="B174" s="36"/>
      <c r="C174" s="2" t="s">
        <v>135</v>
      </c>
      <c r="D174" s="34" t="s">
        <v>136</v>
      </c>
      <c r="E174" s="34"/>
      <c r="F174" s="34"/>
    </row>
    <row r="175" spans="1:6">
      <c r="A175" s="35"/>
      <c r="B175" s="36"/>
      <c r="C175" s="2" t="s">
        <v>137</v>
      </c>
      <c r="D175" s="34" t="s">
        <v>138</v>
      </c>
      <c r="E175" s="34"/>
      <c r="F175" s="34"/>
    </row>
    <row r="176" spans="1:6">
      <c r="A176" s="35"/>
      <c r="B176" s="36"/>
      <c r="C176" s="2" t="s">
        <v>139</v>
      </c>
      <c r="D176" s="34" t="s">
        <v>140</v>
      </c>
      <c r="E176" s="34"/>
      <c r="F176" s="34"/>
    </row>
    <row r="177" spans="1:6">
      <c r="A177" s="35"/>
      <c r="B177" s="36"/>
      <c r="C177" s="2" t="s">
        <v>141</v>
      </c>
      <c r="D177" s="34" t="s">
        <v>142</v>
      </c>
      <c r="E177" s="34"/>
      <c r="F177" s="34"/>
    </row>
    <row r="178" spans="1:6">
      <c r="A178" s="35"/>
      <c r="B178" s="36"/>
      <c r="C178" s="2" t="s">
        <v>143</v>
      </c>
      <c r="D178" s="34" t="s">
        <v>142</v>
      </c>
      <c r="E178" s="34"/>
      <c r="F178" s="34"/>
    </row>
    <row r="179" spans="1:6">
      <c r="A179" s="35"/>
      <c r="B179" s="36"/>
      <c r="C179" s="2" t="s">
        <v>35</v>
      </c>
      <c r="D179" s="34" t="s">
        <v>36</v>
      </c>
      <c r="E179" s="34"/>
      <c r="F179" s="34"/>
    </row>
    <row r="180" spans="1:6">
      <c r="A180" s="35"/>
      <c r="B180" s="36"/>
      <c r="C180" s="2" t="s">
        <v>37</v>
      </c>
      <c r="D180" s="34" t="s">
        <v>38</v>
      </c>
      <c r="E180" s="34"/>
      <c r="F180" s="34"/>
    </row>
    <row r="181" spans="1:6">
      <c r="A181" s="35"/>
      <c r="B181" s="36"/>
      <c r="C181" s="2" t="s">
        <v>39</v>
      </c>
      <c r="D181" s="34" t="s">
        <v>40</v>
      </c>
      <c r="E181" s="34"/>
      <c r="F181" s="34"/>
    </row>
    <row r="182" spans="1:6">
      <c r="A182" s="35"/>
      <c r="B182" s="36"/>
      <c r="C182" s="2" t="s">
        <v>41</v>
      </c>
      <c r="D182" s="34" t="s">
        <v>42</v>
      </c>
      <c r="E182" s="34"/>
      <c r="F182" s="34"/>
    </row>
    <row r="183" spans="1:6">
      <c r="A183" s="35"/>
      <c r="B183" s="36"/>
      <c r="C183" s="2" t="s">
        <v>144</v>
      </c>
      <c r="D183" s="34" t="s">
        <v>145</v>
      </c>
      <c r="E183" s="34"/>
      <c r="F183" s="34"/>
    </row>
    <row r="184" spans="1:6">
      <c r="A184" s="35"/>
      <c r="B184" s="36"/>
      <c r="C184" s="2" t="s">
        <v>146</v>
      </c>
      <c r="D184" s="34" t="s">
        <v>147</v>
      </c>
      <c r="E184" s="34"/>
      <c r="F184" s="34"/>
    </row>
    <row r="185" spans="1:6">
      <c r="A185" s="35"/>
      <c r="B185" s="36"/>
      <c r="C185" s="2" t="s">
        <v>148</v>
      </c>
      <c r="D185" s="34" t="s">
        <v>158</v>
      </c>
      <c r="E185" s="34"/>
      <c r="F185" s="34"/>
    </row>
    <row r="186" spans="1:6">
      <c r="A186" s="35" t="s">
        <v>159</v>
      </c>
      <c r="B186" s="36" t="s">
        <v>160</v>
      </c>
      <c r="C186" s="2" t="s">
        <v>161</v>
      </c>
      <c r="D186" s="34" t="s">
        <v>162</v>
      </c>
      <c r="E186" s="34"/>
      <c r="F186" s="34"/>
    </row>
    <row r="187" spans="1:6">
      <c r="A187" s="35"/>
      <c r="B187" s="36"/>
      <c r="C187" s="2" t="s">
        <v>163</v>
      </c>
      <c r="D187" s="34" t="s">
        <v>164</v>
      </c>
      <c r="E187" s="34"/>
      <c r="F187" s="34"/>
    </row>
    <row r="188" spans="1:6">
      <c r="A188" s="35"/>
      <c r="B188" s="36"/>
      <c r="C188" s="2" t="s">
        <v>165</v>
      </c>
      <c r="D188" s="34" t="s">
        <v>165</v>
      </c>
      <c r="E188" s="34"/>
      <c r="F188" s="34"/>
    </row>
    <row r="189" spans="1:6">
      <c r="A189" s="35"/>
      <c r="B189" s="36"/>
      <c r="C189" s="2" t="s">
        <v>166</v>
      </c>
      <c r="D189" s="34" t="s">
        <v>167</v>
      </c>
      <c r="E189" s="34"/>
      <c r="F189" s="34"/>
    </row>
    <row r="190" spans="1:6">
      <c r="A190" s="35"/>
      <c r="B190" s="36"/>
      <c r="C190" s="2" t="s">
        <v>34</v>
      </c>
      <c r="D190" s="34" t="s">
        <v>69</v>
      </c>
      <c r="E190" s="34"/>
      <c r="F190" s="34"/>
    </row>
    <row r="191" spans="1:6">
      <c r="A191" s="35"/>
      <c r="B191" s="36"/>
      <c r="C191" s="2" t="s">
        <v>35</v>
      </c>
      <c r="D191" s="34" t="s">
        <v>36</v>
      </c>
      <c r="E191" s="34"/>
      <c r="F191" s="34"/>
    </row>
    <row r="192" spans="1:6">
      <c r="A192" s="35"/>
      <c r="B192" s="36"/>
      <c r="C192" s="2" t="s">
        <v>41</v>
      </c>
      <c r="D192" s="34" t="s">
        <v>42</v>
      </c>
      <c r="E192" s="34"/>
      <c r="F192" s="34"/>
    </row>
    <row r="193" spans="1:6">
      <c r="A193" s="35"/>
      <c r="B193" s="36"/>
      <c r="C193" s="2" t="s">
        <v>168</v>
      </c>
      <c r="D193" s="34" t="s">
        <v>169</v>
      </c>
      <c r="E193" s="34"/>
      <c r="F193" s="34"/>
    </row>
    <row r="194" spans="1:6">
      <c r="A194" s="35" t="s">
        <v>170</v>
      </c>
      <c r="B194" s="36" t="s">
        <v>171</v>
      </c>
      <c r="C194" s="2" t="s">
        <v>19</v>
      </c>
      <c r="D194" s="34" t="s">
        <v>172</v>
      </c>
      <c r="E194" s="34"/>
      <c r="F194" s="34"/>
    </row>
    <row r="195" spans="1:6">
      <c r="A195" s="35"/>
      <c r="B195" s="36"/>
      <c r="C195" s="2" t="s">
        <v>21</v>
      </c>
      <c r="D195" s="34" t="s">
        <v>173</v>
      </c>
      <c r="E195" s="34"/>
      <c r="F195" s="34"/>
    </row>
    <row r="196" spans="1:6">
      <c r="A196" s="35"/>
      <c r="B196" s="36"/>
      <c r="C196" s="2" t="s">
        <v>161</v>
      </c>
      <c r="D196" s="34" t="s">
        <v>162</v>
      </c>
      <c r="E196" s="34"/>
      <c r="F196" s="34"/>
    </row>
    <row r="197" spans="1:6">
      <c r="A197" s="35"/>
      <c r="B197" s="36"/>
      <c r="C197" s="2" t="s">
        <v>163</v>
      </c>
      <c r="D197" s="34" t="s">
        <v>164</v>
      </c>
      <c r="E197" s="34"/>
      <c r="F197" s="34"/>
    </row>
    <row r="198" spans="1:6">
      <c r="A198" s="35"/>
      <c r="B198" s="36"/>
      <c r="C198" s="2" t="s">
        <v>165</v>
      </c>
      <c r="D198" s="34" t="s">
        <v>165</v>
      </c>
      <c r="E198" s="34"/>
      <c r="F198" s="34"/>
    </row>
    <row r="199" spans="1:6">
      <c r="A199" s="35"/>
      <c r="B199" s="36"/>
      <c r="C199" s="2" t="s">
        <v>166</v>
      </c>
      <c r="D199" s="34" t="s">
        <v>167</v>
      </c>
      <c r="E199" s="34"/>
      <c r="F199" s="34"/>
    </row>
    <row r="200" spans="1:6">
      <c r="A200" s="35"/>
      <c r="B200" s="36"/>
      <c r="C200" s="2" t="s">
        <v>34</v>
      </c>
      <c r="D200" s="34" t="s">
        <v>69</v>
      </c>
      <c r="E200" s="34"/>
      <c r="F200" s="34"/>
    </row>
    <row r="201" spans="1:6">
      <c r="A201" s="35"/>
      <c r="B201" s="36"/>
      <c r="C201" s="2" t="s">
        <v>35</v>
      </c>
      <c r="D201" s="34" t="s">
        <v>36</v>
      </c>
      <c r="E201" s="34"/>
      <c r="F201" s="34"/>
    </row>
    <row r="202" spans="1:6">
      <c r="A202" s="35"/>
      <c r="B202" s="36"/>
      <c r="C202" s="2" t="s">
        <v>41</v>
      </c>
      <c r="D202" s="34" t="s">
        <v>42</v>
      </c>
      <c r="E202" s="34"/>
      <c r="F202" s="34"/>
    </row>
    <row r="203" spans="1:6">
      <c r="A203" s="35"/>
      <c r="B203" s="36"/>
      <c r="C203" s="2" t="s">
        <v>168</v>
      </c>
      <c r="D203" s="34" t="s">
        <v>169</v>
      </c>
      <c r="E203" s="34"/>
      <c r="F203" s="34"/>
    </row>
    <row r="204" spans="1:6">
      <c r="A204" s="35" t="s">
        <v>174</v>
      </c>
      <c r="B204" s="36" t="s">
        <v>175</v>
      </c>
      <c r="C204" s="2" t="s">
        <v>19</v>
      </c>
      <c r="D204" s="34" t="s">
        <v>20</v>
      </c>
      <c r="E204" s="34"/>
      <c r="F204" s="34"/>
    </row>
    <row r="205" spans="1:6">
      <c r="A205" s="35"/>
      <c r="B205" s="36"/>
      <c r="C205" s="2" t="s">
        <v>21</v>
      </c>
      <c r="D205" s="34" t="s">
        <v>22</v>
      </c>
      <c r="E205" s="34"/>
      <c r="F205" s="34"/>
    </row>
    <row r="206" spans="1:6">
      <c r="A206" s="35"/>
      <c r="B206" s="36"/>
      <c r="C206" s="2" t="s">
        <v>23</v>
      </c>
      <c r="D206" s="34" t="s">
        <v>23</v>
      </c>
      <c r="E206" s="34"/>
      <c r="F206" s="34"/>
    </row>
    <row r="207" spans="1:6">
      <c r="A207" s="35"/>
      <c r="B207" s="36"/>
      <c r="C207" s="2" t="s">
        <v>24</v>
      </c>
      <c r="D207" s="34" t="s">
        <v>25</v>
      </c>
      <c r="E207" s="34"/>
      <c r="F207" s="34"/>
    </row>
    <row r="208" spans="1:6">
      <c r="A208" s="35"/>
      <c r="B208" s="36"/>
      <c r="C208" s="2" t="s">
        <v>26</v>
      </c>
      <c r="D208" s="34" t="s">
        <v>27</v>
      </c>
      <c r="E208" s="34"/>
      <c r="F208" s="34"/>
    </row>
    <row r="209" spans="1:6">
      <c r="A209" s="35"/>
      <c r="B209" s="36"/>
      <c r="C209" s="2" t="s">
        <v>28</v>
      </c>
      <c r="D209" s="34" t="s">
        <v>29</v>
      </c>
      <c r="E209" s="34"/>
      <c r="F209" s="34"/>
    </row>
    <row r="210" spans="1:6">
      <c r="A210" s="35"/>
      <c r="B210" s="36"/>
      <c r="C210" s="2" t="s">
        <v>30</v>
      </c>
      <c r="D210" s="34" t="s">
        <v>31</v>
      </c>
      <c r="E210" s="34"/>
      <c r="F210" s="34"/>
    </row>
    <row r="211" spans="1:6" ht="30">
      <c r="A211" s="35"/>
      <c r="B211" s="36"/>
      <c r="C211" s="2" t="s">
        <v>32</v>
      </c>
      <c r="D211" s="34" t="s">
        <v>33</v>
      </c>
      <c r="E211" s="34"/>
      <c r="F211" s="34"/>
    </row>
    <row r="212" spans="1:6">
      <c r="A212" s="35"/>
      <c r="B212" s="36"/>
      <c r="C212" s="2" t="s">
        <v>34</v>
      </c>
      <c r="D212" s="34" t="s">
        <v>34</v>
      </c>
      <c r="E212" s="34"/>
      <c r="F212" s="34"/>
    </row>
    <row r="213" spans="1:6">
      <c r="A213" s="35"/>
      <c r="B213" s="36"/>
      <c r="C213" s="2" t="s">
        <v>35</v>
      </c>
      <c r="D213" s="34" t="s">
        <v>36</v>
      </c>
      <c r="E213" s="34"/>
      <c r="F213" s="34"/>
    </row>
    <row r="214" spans="1:6">
      <c r="A214" s="35"/>
      <c r="B214" s="36"/>
      <c r="C214" s="2" t="s">
        <v>37</v>
      </c>
      <c r="D214" s="34" t="s">
        <v>38</v>
      </c>
      <c r="E214" s="34"/>
      <c r="F214" s="34"/>
    </row>
    <row r="215" spans="1:6">
      <c r="A215" s="35"/>
      <c r="B215" s="36"/>
      <c r="C215" s="2" t="s">
        <v>39</v>
      </c>
      <c r="D215" s="34" t="s">
        <v>40</v>
      </c>
      <c r="E215" s="34"/>
      <c r="F215" s="34"/>
    </row>
    <row r="216" spans="1:6">
      <c r="A216" s="35"/>
      <c r="B216" s="36"/>
      <c r="C216" s="2" t="s">
        <v>41</v>
      </c>
      <c r="D216" s="34" t="s">
        <v>42</v>
      </c>
      <c r="E216" s="34"/>
      <c r="F216" s="34"/>
    </row>
    <row r="217" spans="1:6">
      <c r="A217" s="35"/>
      <c r="B217" s="36"/>
      <c r="C217" s="2" t="s">
        <v>176</v>
      </c>
      <c r="D217" s="34" t="s">
        <v>112</v>
      </c>
      <c r="E217" s="34"/>
      <c r="F217" s="34"/>
    </row>
    <row r="218" spans="1:6">
      <c r="A218" s="35"/>
      <c r="B218" s="36"/>
      <c r="C218" s="2" t="s">
        <v>177</v>
      </c>
      <c r="D218" s="34" t="s">
        <v>114</v>
      </c>
      <c r="E218" s="34"/>
      <c r="F218" s="34"/>
    </row>
    <row r="219" spans="1:6">
      <c r="A219" s="35"/>
      <c r="B219" s="36"/>
      <c r="C219" s="2" t="s">
        <v>47</v>
      </c>
      <c r="D219" s="34" t="s">
        <v>48</v>
      </c>
      <c r="E219" s="34"/>
      <c r="F219" s="34"/>
    </row>
    <row r="220" spans="1:6">
      <c r="A220" s="35"/>
      <c r="B220" s="36"/>
      <c r="C220" s="2" t="s">
        <v>49</v>
      </c>
      <c r="D220" s="34" t="s">
        <v>50</v>
      </c>
      <c r="E220" s="34"/>
      <c r="F220" s="34"/>
    </row>
    <row r="221" spans="1:6">
      <c r="A221" s="35"/>
      <c r="B221" s="36"/>
      <c r="C221" s="2" t="s">
        <v>51</v>
      </c>
      <c r="D221" s="34" t="s">
        <v>52</v>
      </c>
      <c r="E221" s="34"/>
      <c r="F221" s="34"/>
    </row>
    <row r="222" spans="1:6">
      <c r="A222" s="35"/>
      <c r="B222" s="36"/>
      <c r="C222" s="2" t="s">
        <v>53</v>
      </c>
      <c r="D222" s="34" t="s">
        <v>54</v>
      </c>
      <c r="E222" s="34"/>
      <c r="F222" s="34"/>
    </row>
    <row r="223" spans="1:6">
      <c r="A223" s="35"/>
      <c r="B223" s="36"/>
      <c r="C223" s="2" t="s">
        <v>55</v>
      </c>
      <c r="D223" s="34" t="s">
        <v>56</v>
      </c>
      <c r="E223" s="34"/>
      <c r="F223" s="34"/>
    </row>
    <row r="224" spans="1:6">
      <c r="A224" s="35"/>
      <c r="B224" s="36"/>
      <c r="C224" s="2" t="s">
        <v>57</v>
      </c>
      <c r="D224" s="34" t="s">
        <v>58</v>
      </c>
      <c r="E224" s="34"/>
      <c r="F224" s="34"/>
    </row>
    <row r="225" spans="1:6" ht="30">
      <c r="A225" s="35" t="s">
        <v>178</v>
      </c>
      <c r="B225" s="36" t="s">
        <v>179</v>
      </c>
      <c r="C225" s="2" t="s">
        <v>61</v>
      </c>
      <c r="D225" s="34" t="s">
        <v>62</v>
      </c>
      <c r="E225" s="34"/>
      <c r="F225" s="34"/>
    </row>
    <row r="226" spans="1:6">
      <c r="A226" s="35"/>
      <c r="B226" s="36"/>
      <c r="C226" s="2" t="s">
        <v>63</v>
      </c>
      <c r="D226" s="34" t="s">
        <v>64</v>
      </c>
      <c r="E226" s="34"/>
      <c r="F226" s="34"/>
    </row>
    <row r="227" spans="1:6">
      <c r="A227" s="35"/>
      <c r="B227" s="36"/>
      <c r="C227" s="2" t="s">
        <v>19</v>
      </c>
      <c r="D227" s="34" t="s">
        <v>20</v>
      </c>
      <c r="E227" s="34"/>
      <c r="F227" s="34"/>
    </row>
    <row r="228" spans="1:6">
      <c r="A228" s="35"/>
      <c r="B228" s="36"/>
      <c r="C228" s="2" t="s">
        <v>21</v>
      </c>
      <c r="D228" s="34" t="s">
        <v>65</v>
      </c>
      <c r="E228" s="34"/>
      <c r="F228" s="34"/>
    </row>
    <row r="229" spans="1:6">
      <c r="A229" s="35"/>
      <c r="B229" s="36"/>
      <c r="C229" s="2" t="s">
        <v>23</v>
      </c>
      <c r="D229" s="34" t="s">
        <v>66</v>
      </c>
      <c r="E229" s="34"/>
      <c r="F229" s="34"/>
    </row>
    <row r="230" spans="1:6">
      <c r="A230" s="35"/>
      <c r="B230" s="36"/>
      <c r="C230" s="2" t="s">
        <v>24</v>
      </c>
      <c r="D230" s="34" t="s">
        <v>25</v>
      </c>
      <c r="E230" s="34"/>
      <c r="F230" s="34"/>
    </row>
    <row r="231" spans="1:6">
      <c r="A231" s="35"/>
      <c r="B231" s="36"/>
      <c r="C231" s="2" t="s">
        <v>26</v>
      </c>
      <c r="D231" s="34" t="s">
        <v>27</v>
      </c>
      <c r="E231" s="34"/>
      <c r="F231" s="34"/>
    </row>
    <row r="232" spans="1:6">
      <c r="A232" s="35"/>
      <c r="B232" s="36"/>
      <c r="C232" s="2" t="s">
        <v>28</v>
      </c>
      <c r="D232" s="34" t="s">
        <v>29</v>
      </c>
      <c r="E232" s="34"/>
      <c r="F232" s="34"/>
    </row>
    <row r="233" spans="1:6">
      <c r="A233" s="35"/>
      <c r="B233" s="36"/>
      <c r="C233" s="2" t="s">
        <v>30</v>
      </c>
      <c r="D233" s="34" t="s">
        <v>67</v>
      </c>
      <c r="E233" s="34"/>
      <c r="F233" s="34"/>
    </row>
    <row r="234" spans="1:6" ht="30">
      <c r="A234" s="35"/>
      <c r="B234" s="36"/>
      <c r="C234" s="2" t="s">
        <v>32</v>
      </c>
      <c r="D234" s="34" t="s">
        <v>68</v>
      </c>
      <c r="E234" s="34"/>
      <c r="F234" s="34"/>
    </row>
    <row r="235" spans="1:6">
      <c r="A235" s="35"/>
      <c r="B235" s="36"/>
      <c r="C235" s="2" t="s">
        <v>34</v>
      </c>
      <c r="D235" s="34" t="s">
        <v>69</v>
      </c>
      <c r="E235" s="34"/>
      <c r="F235" s="34"/>
    </row>
    <row r="236" spans="1:6">
      <c r="A236" s="35"/>
      <c r="B236" s="36"/>
      <c r="C236" s="2" t="s">
        <v>35</v>
      </c>
      <c r="D236" s="34" t="s">
        <v>36</v>
      </c>
      <c r="E236" s="34"/>
      <c r="F236" s="34"/>
    </row>
    <row r="237" spans="1:6">
      <c r="A237" s="35"/>
      <c r="B237" s="36"/>
      <c r="C237" s="2" t="s">
        <v>37</v>
      </c>
      <c r="D237" s="34" t="s">
        <v>38</v>
      </c>
      <c r="E237" s="34"/>
      <c r="F237" s="34"/>
    </row>
    <row r="238" spans="1:6">
      <c r="A238" s="35"/>
      <c r="B238" s="36"/>
      <c r="C238" s="2" t="s">
        <v>39</v>
      </c>
      <c r="D238" s="34" t="s">
        <v>40</v>
      </c>
      <c r="E238" s="34"/>
      <c r="F238" s="34"/>
    </row>
    <row r="239" spans="1:6">
      <c r="A239" s="35"/>
      <c r="B239" s="36"/>
      <c r="C239" s="2" t="s">
        <v>41</v>
      </c>
      <c r="D239" s="34" t="s">
        <v>42</v>
      </c>
      <c r="E239" s="34"/>
      <c r="F239" s="34"/>
    </row>
    <row r="240" spans="1:6">
      <c r="A240" s="35"/>
      <c r="B240" s="36"/>
      <c r="C240" s="2" t="s">
        <v>176</v>
      </c>
      <c r="D240" s="34" t="s">
        <v>112</v>
      </c>
      <c r="E240" s="34"/>
      <c r="F240" s="34"/>
    </row>
    <row r="241" spans="1:6">
      <c r="A241" s="35"/>
      <c r="B241" s="36"/>
      <c r="C241" s="2" t="s">
        <v>177</v>
      </c>
      <c r="D241" s="34" t="s">
        <v>114</v>
      </c>
      <c r="E241" s="34"/>
      <c r="F241" s="34"/>
    </row>
    <row r="242" spans="1:6">
      <c r="A242" s="35"/>
      <c r="B242" s="36"/>
      <c r="C242" s="2" t="s">
        <v>47</v>
      </c>
      <c r="D242" s="34" t="s">
        <v>76</v>
      </c>
      <c r="E242" s="34"/>
      <c r="F242" s="34"/>
    </row>
    <row r="243" spans="1:6">
      <c r="A243" s="35"/>
      <c r="B243" s="36"/>
      <c r="C243" s="2" t="s">
        <v>49</v>
      </c>
      <c r="D243" s="34" t="s">
        <v>50</v>
      </c>
      <c r="E243" s="34"/>
      <c r="F243" s="34"/>
    </row>
    <row r="244" spans="1:6">
      <c r="A244" s="35"/>
      <c r="B244" s="36"/>
      <c r="C244" s="2" t="s">
        <v>51</v>
      </c>
      <c r="D244" s="34" t="s">
        <v>52</v>
      </c>
      <c r="E244" s="34"/>
      <c r="F244" s="34"/>
    </row>
    <row r="245" spans="1:6">
      <c r="A245" s="35" t="s">
        <v>180</v>
      </c>
      <c r="B245" s="36" t="s">
        <v>181</v>
      </c>
      <c r="C245" s="2" t="s">
        <v>19</v>
      </c>
      <c r="D245" s="34" t="s">
        <v>20</v>
      </c>
      <c r="E245" s="34"/>
      <c r="F245" s="34"/>
    </row>
    <row r="246" spans="1:6">
      <c r="A246" s="35"/>
      <c r="B246" s="36"/>
      <c r="C246" s="2" t="s">
        <v>21</v>
      </c>
      <c r="D246" s="34" t="s">
        <v>79</v>
      </c>
      <c r="E246" s="34"/>
      <c r="F246" s="34"/>
    </row>
    <row r="247" spans="1:6">
      <c r="A247" s="35"/>
      <c r="B247" s="36"/>
      <c r="C247" s="2" t="s">
        <v>80</v>
      </c>
      <c r="D247" s="34" t="s">
        <v>182</v>
      </c>
      <c r="E247" s="34"/>
      <c r="F247" s="34"/>
    </row>
    <row r="248" spans="1:6">
      <c r="A248" s="35"/>
      <c r="B248" s="36"/>
      <c r="C248" s="2" t="s">
        <v>82</v>
      </c>
      <c r="D248" s="34" t="s">
        <v>183</v>
      </c>
      <c r="E248" s="34"/>
      <c r="F248" s="34"/>
    </row>
    <row r="249" spans="1:6">
      <c r="A249" s="35"/>
      <c r="B249" s="36"/>
      <c r="C249" s="2" t="s">
        <v>84</v>
      </c>
      <c r="D249" s="34" t="s">
        <v>85</v>
      </c>
      <c r="E249" s="34"/>
      <c r="F249" s="34"/>
    </row>
    <row r="250" spans="1:6">
      <c r="A250" s="35"/>
      <c r="B250" s="36"/>
      <c r="C250" s="2" t="s">
        <v>86</v>
      </c>
      <c r="D250" s="34" t="s">
        <v>184</v>
      </c>
      <c r="E250" s="34"/>
      <c r="F250" s="34"/>
    </row>
    <row r="251" spans="1:6">
      <c r="A251" s="35"/>
      <c r="B251" s="36"/>
      <c r="C251" s="2" t="s">
        <v>88</v>
      </c>
      <c r="D251" s="34" t="s">
        <v>185</v>
      </c>
      <c r="E251" s="34"/>
      <c r="F251" s="34"/>
    </row>
    <row r="252" spans="1:6">
      <c r="A252" s="35"/>
      <c r="B252" s="36"/>
      <c r="C252" s="2" t="s">
        <v>30</v>
      </c>
      <c r="D252" s="34" t="s">
        <v>67</v>
      </c>
      <c r="E252" s="34"/>
      <c r="F252" s="34"/>
    </row>
    <row r="253" spans="1:6" ht="30">
      <c r="A253" s="35"/>
      <c r="B253" s="36"/>
      <c r="C253" s="2" t="s">
        <v>32</v>
      </c>
      <c r="D253" s="34" t="s">
        <v>68</v>
      </c>
      <c r="E253" s="34"/>
      <c r="F253" s="34"/>
    </row>
    <row r="254" spans="1:6">
      <c r="A254" s="35"/>
      <c r="B254" s="36"/>
      <c r="C254" s="2" t="s">
        <v>34</v>
      </c>
      <c r="D254" s="34" t="s">
        <v>69</v>
      </c>
      <c r="E254" s="34"/>
      <c r="F254" s="34"/>
    </row>
    <row r="255" spans="1:6">
      <c r="A255" s="35"/>
      <c r="B255" s="36"/>
      <c r="C255" s="2" t="s">
        <v>35</v>
      </c>
      <c r="D255" s="34" t="s">
        <v>36</v>
      </c>
      <c r="E255" s="34"/>
      <c r="F255" s="34"/>
    </row>
    <row r="256" spans="1:6">
      <c r="A256" s="35"/>
      <c r="B256" s="36"/>
      <c r="C256" s="2" t="s">
        <v>37</v>
      </c>
      <c r="D256" s="34" t="s">
        <v>38</v>
      </c>
      <c r="E256" s="34"/>
      <c r="F256" s="34"/>
    </row>
    <row r="257" spans="1:6">
      <c r="A257" s="35"/>
      <c r="B257" s="36"/>
      <c r="C257" s="2" t="s">
        <v>39</v>
      </c>
      <c r="D257" s="34" t="s">
        <v>40</v>
      </c>
      <c r="E257" s="34"/>
      <c r="F257" s="34"/>
    </row>
    <row r="258" spans="1:6">
      <c r="A258" s="35"/>
      <c r="B258" s="36"/>
      <c r="C258" s="2" t="s">
        <v>41</v>
      </c>
      <c r="D258" s="34" t="s">
        <v>42</v>
      </c>
      <c r="E258" s="34"/>
      <c r="F258" s="34"/>
    </row>
    <row r="259" spans="1:6">
      <c r="A259" s="35"/>
      <c r="B259" s="36"/>
      <c r="C259" s="2" t="s">
        <v>176</v>
      </c>
      <c r="D259" s="34" t="s">
        <v>112</v>
      </c>
      <c r="E259" s="34"/>
      <c r="F259" s="34"/>
    </row>
    <row r="260" spans="1:6">
      <c r="A260" s="35"/>
      <c r="B260" s="36"/>
      <c r="C260" s="2" t="s">
        <v>177</v>
      </c>
      <c r="D260" s="34" t="s">
        <v>114</v>
      </c>
      <c r="E260" s="34"/>
      <c r="F260" s="34"/>
    </row>
    <row r="261" spans="1:6">
      <c r="A261" s="35"/>
      <c r="B261" s="36"/>
      <c r="C261" s="2" t="s">
        <v>47</v>
      </c>
      <c r="D261" s="34" t="s">
        <v>76</v>
      </c>
      <c r="E261" s="34"/>
      <c r="F261" s="34"/>
    </row>
    <row r="262" spans="1:6">
      <c r="A262" s="35"/>
      <c r="B262" s="36"/>
      <c r="C262" s="2" t="s">
        <v>49</v>
      </c>
      <c r="D262" s="34" t="s">
        <v>50</v>
      </c>
      <c r="E262" s="34"/>
      <c r="F262" s="34"/>
    </row>
    <row r="263" spans="1:6">
      <c r="A263" s="35"/>
      <c r="B263" s="36"/>
      <c r="C263" s="2" t="s">
        <v>51</v>
      </c>
      <c r="D263" s="34" t="s">
        <v>52</v>
      </c>
      <c r="E263" s="34"/>
      <c r="F263" s="34"/>
    </row>
    <row r="264" spans="1:6">
      <c r="A264" s="35"/>
      <c r="B264" s="36"/>
      <c r="C264" s="2" t="s">
        <v>53</v>
      </c>
      <c r="D264" s="34" t="s">
        <v>54</v>
      </c>
      <c r="E264" s="34"/>
      <c r="F264" s="34"/>
    </row>
    <row r="265" spans="1:6">
      <c r="A265" s="35"/>
      <c r="B265" s="36"/>
      <c r="C265" s="2" t="s">
        <v>55</v>
      </c>
      <c r="D265" s="34" t="s">
        <v>56</v>
      </c>
      <c r="E265" s="34"/>
      <c r="F265" s="34"/>
    </row>
    <row r="266" spans="1:6">
      <c r="A266" s="35"/>
      <c r="B266" s="36"/>
      <c r="C266" s="2" t="s">
        <v>57</v>
      </c>
      <c r="D266" s="34" t="s">
        <v>58</v>
      </c>
      <c r="E266" s="34"/>
      <c r="F266" s="34"/>
    </row>
    <row r="267" spans="1:6">
      <c r="A267" s="35" t="s">
        <v>186</v>
      </c>
      <c r="B267" s="36" t="s">
        <v>187</v>
      </c>
      <c r="C267" s="2" t="s">
        <v>92</v>
      </c>
      <c r="D267" s="34" t="s">
        <v>188</v>
      </c>
      <c r="E267" s="34"/>
      <c r="F267" s="34"/>
    </row>
    <row r="268" spans="1:6">
      <c r="A268" s="35"/>
      <c r="B268" s="36"/>
      <c r="C268" s="2" t="s">
        <v>94</v>
      </c>
      <c r="D268" s="34" t="s">
        <v>189</v>
      </c>
      <c r="E268" s="34"/>
      <c r="F268" s="34"/>
    </row>
    <row r="269" spans="1:6">
      <c r="A269" s="35"/>
      <c r="B269" s="36"/>
      <c r="C269" s="2" t="s">
        <v>96</v>
      </c>
      <c r="D269" s="34" t="s">
        <v>190</v>
      </c>
      <c r="E269" s="34"/>
      <c r="F269" s="34"/>
    </row>
    <row r="270" spans="1:6">
      <c r="A270" s="35"/>
      <c r="B270" s="36"/>
      <c r="C270" s="2" t="s">
        <v>19</v>
      </c>
      <c r="D270" s="34" t="s">
        <v>20</v>
      </c>
      <c r="E270" s="34"/>
      <c r="F270" s="34"/>
    </row>
    <row r="271" spans="1:6">
      <c r="A271" s="35"/>
      <c r="B271" s="36"/>
      <c r="C271" s="2" t="s">
        <v>21</v>
      </c>
      <c r="D271" s="34" t="s">
        <v>79</v>
      </c>
      <c r="E271" s="34"/>
      <c r="F271" s="34"/>
    </row>
    <row r="272" spans="1:6">
      <c r="A272" s="35"/>
      <c r="B272" s="36"/>
      <c r="C272" s="2" t="s">
        <v>80</v>
      </c>
      <c r="D272" s="34" t="s">
        <v>182</v>
      </c>
      <c r="E272" s="34"/>
      <c r="F272" s="34"/>
    </row>
    <row r="273" spans="1:6">
      <c r="A273" s="35"/>
      <c r="B273" s="36"/>
      <c r="C273" s="2" t="s">
        <v>82</v>
      </c>
      <c r="D273" s="34" t="s">
        <v>191</v>
      </c>
      <c r="E273" s="34"/>
      <c r="F273" s="34"/>
    </row>
    <row r="274" spans="1:6">
      <c r="A274" s="35"/>
      <c r="B274" s="36"/>
      <c r="C274" s="2" t="s">
        <v>84</v>
      </c>
      <c r="D274" s="34" t="s">
        <v>85</v>
      </c>
      <c r="E274" s="34"/>
      <c r="F274" s="34"/>
    </row>
    <row r="275" spans="1:6">
      <c r="A275" s="35"/>
      <c r="B275" s="36"/>
      <c r="C275" s="2" t="s">
        <v>86</v>
      </c>
      <c r="D275" s="34" t="s">
        <v>184</v>
      </c>
      <c r="E275" s="34"/>
      <c r="F275" s="34"/>
    </row>
    <row r="276" spans="1:6">
      <c r="A276" s="35"/>
      <c r="B276" s="36"/>
      <c r="C276" s="2" t="s">
        <v>88</v>
      </c>
      <c r="D276" s="34" t="s">
        <v>185</v>
      </c>
      <c r="E276" s="34"/>
      <c r="F276" s="34"/>
    </row>
    <row r="277" spans="1:6">
      <c r="A277" s="35"/>
      <c r="B277" s="36"/>
      <c r="C277" s="2" t="s">
        <v>30</v>
      </c>
      <c r="D277" s="34" t="s">
        <v>67</v>
      </c>
      <c r="E277" s="34"/>
      <c r="F277" s="34"/>
    </row>
    <row r="278" spans="1:6" ht="30">
      <c r="A278" s="35"/>
      <c r="B278" s="36"/>
      <c r="C278" s="2" t="s">
        <v>32</v>
      </c>
      <c r="D278" s="34" t="s">
        <v>68</v>
      </c>
      <c r="E278" s="34"/>
      <c r="F278" s="34"/>
    </row>
    <row r="279" spans="1:6">
      <c r="A279" s="35"/>
      <c r="B279" s="36"/>
      <c r="C279" s="2" t="s">
        <v>34</v>
      </c>
      <c r="D279" s="34" t="s">
        <v>69</v>
      </c>
      <c r="E279" s="34"/>
      <c r="F279" s="34"/>
    </row>
    <row r="280" spans="1:6">
      <c r="A280" s="35"/>
      <c r="B280" s="36"/>
      <c r="C280" s="2" t="s">
        <v>35</v>
      </c>
      <c r="D280" s="34" t="s">
        <v>36</v>
      </c>
      <c r="E280" s="34"/>
      <c r="F280" s="34"/>
    </row>
    <row r="281" spans="1:6">
      <c r="A281" s="35"/>
      <c r="B281" s="36"/>
      <c r="C281" s="2" t="s">
        <v>37</v>
      </c>
      <c r="D281" s="34" t="s">
        <v>38</v>
      </c>
      <c r="E281" s="34"/>
      <c r="F281" s="34"/>
    </row>
    <row r="282" spans="1:6">
      <c r="A282" s="35"/>
      <c r="B282" s="36"/>
      <c r="C282" s="2" t="s">
        <v>39</v>
      </c>
      <c r="D282" s="34" t="s">
        <v>40</v>
      </c>
      <c r="E282" s="34"/>
      <c r="F282" s="34"/>
    </row>
    <row r="283" spans="1:6">
      <c r="A283" s="35"/>
      <c r="B283" s="36"/>
      <c r="C283" s="2" t="s">
        <v>41</v>
      </c>
      <c r="D283" s="34" t="s">
        <v>42</v>
      </c>
      <c r="E283" s="34"/>
      <c r="F283" s="34"/>
    </row>
    <row r="284" spans="1:6">
      <c r="A284" s="35"/>
      <c r="B284" s="36"/>
      <c r="C284" s="2" t="s">
        <v>176</v>
      </c>
      <c r="D284" s="34" t="s">
        <v>112</v>
      </c>
      <c r="E284" s="34"/>
      <c r="F284" s="34"/>
    </row>
    <row r="285" spans="1:6">
      <c r="A285" s="35"/>
      <c r="B285" s="36"/>
      <c r="C285" s="2" t="s">
        <v>177</v>
      </c>
      <c r="D285" s="34" t="s">
        <v>114</v>
      </c>
      <c r="E285" s="34"/>
      <c r="F285" s="34"/>
    </row>
    <row r="286" spans="1:6">
      <c r="A286" s="35"/>
      <c r="B286" s="36"/>
      <c r="C286" s="2" t="s">
        <v>47</v>
      </c>
      <c r="D286" s="34" t="s">
        <v>76</v>
      </c>
      <c r="E286" s="34"/>
      <c r="F286" s="34"/>
    </row>
    <row r="287" spans="1:6">
      <c r="A287" s="35"/>
      <c r="B287" s="36"/>
      <c r="C287" s="2" t="s">
        <v>49</v>
      </c>
      <c r="D287" s="34" t="s">
        <v>50</v>
      </c>
      <c r="E287" s="34"/>
      <c r="F287" s="34"/>
    </row>
    <row r="288" spans="1:6">
      <c r="A288" s="35"/>
      <c r="B288" s="36"/>
      <c r="C288" s="2" t="s">
        <v>51</v>
      </c>
      <c r="D288" s="34" t="s">
        <v>52</v>
      </c>
      <c r="E288" s="34"/>
      <c r="F288" s="34"/>
    </row>
    <row r="289" spans="1:6">
      <c r="A289" s="35" t="s">
        <v>192</v>
      </c>
      <c r="B289" s="36" t="s">
        <v>193</v>
      </c>
      <c r="C289" s="2" t="s">
        <v>19</v>
      </c>
      <c r="D289" s="34" t="s">
        <v>20</v>
      </c>
      <c r="E289" s="34"/>
      <c r="F289" s="34"/>
    </row>
    <row r="290" spans="1:6">
      <c r="A290" s="35"/>
      <c r="B290" s="36"/>
      <c r="C290" s="2" t="s">
        <v>21</v>
      </c>
      <c r="D290" s="34" t="s">
        <v>22</v>
      </c>
      <c r="E290" s="34"/>
      <c r="F290" s="34"/>
    </row>
    <row r="291" spans="1:6">
      <c r="A291" s="35"/>
      <c r="B291" s="36"/>
      <c r="C291" s="2" t="s">
        <v>23</v>
      </c>
      <c r="D291" s="34" t="s">
        <v>23</v>
      </c>
      <c r="E291" s="34"/>
      <c r="F291" s="34"/>
    </row>
    <row r="292" spans="1:6">
      <c r="A292" s="35"/>
      <c r="B292" s="36"/>
      <c r="C292" s="2" t="s">
        <v>24</v>
      </c>
      <c r="D292" s="34" t="s">
        <v>25</v>
      </c>
      <c r="E292" s="34"/>
      <c r="F292" s="34"/>
    </row>
    <row r="293" spans="1:6">
      <c r="A293" s="35"/>
      <c r="B293" s="36"/>
      <c r="C293" s="2" t="s">
        <v>26</v>
      </c>
      <c r="D293" s="34" t="s">
        <v>27</v>
      </c>
      <c r="E293" s="34"/>
      <c r="F293" s="34"/>
    </row>
    <row r="294" spans="1:6">
      <c r="A294" s="35"/>
      <c r="B294" s="36"/>
      <c r="C294" s="2" t="s">
        <v>28</v>
      </c>
      <c r="D294" s="34" t="s">
        <v>29</v>
      </c>
      <c r="E294" s="34"/>
      <c r="F294" s="34"/>
    </row>
    <row r="295" spans="1:6">
      <c r="A295" s="35"/>
      <c r="B295" s="36"/>
      <c r="C295" s="2" t="s">
        <v>30</v>
      </c>
      <c r="D295" s="34" t="s">
        <v>31</v>
      </c>
      <c r="E295" s="34"/>
      <c r="F295" s="34"/>
    </row>
    <row r="296" spans="1:6">
      <c r="A296" s="35"/>
      <c r="B296" s="36"/>
      <c r="C296" s="2" t="s">
        <v>34</v>
      </c>
      <c r="D296" s="34" t="s">
        <v>34</v>
      </c>
      <c r="E296" s="34"/>
      <c r="F296" s="34"/>
    </row>
    <row r="297" spans="1:6">
      <c r="A297" s="35"/>
      <c r="B297" s="36"/>
      <c r="C297" s="2" t="s">
        <v>35</v>
      </c>
      <c r="D297" s="34" t="s">
        <v>36</v>
      </c>
      <c r="E297" s="34"/>
      <c r="F297" s="34"/>
    </row>
    <row r="298" spans="1:6">
      <c r="A298" s="35"/>
      <c r="B298" s="36"/>
      <c r="C298" s="2" t="s">
        <v>37</v>
      </c>
      <c r="D298" s="34" t="s">
        <v>38</v>
      </c>
      <c r="E298" s="34"/>
      <c r="F298" s="34"/>
    </row>
    <row r="299" spans="1:6">
      <c r="A299" s="35"/>
      <c r="B299" s="36"/>
      <c r="C299" s="2" t="s">
        <v>39</v>
      </c>
      <c r="D299" s="34" t="s">
        <v>40</v>
      </c>
      <c r="E299" s="34"/>
      <c r="F299" s="34"/>
    </row>
    <row r="300" spans="1:6">
      <c r="A300" s="35"/>
      <c r="B300" s="36"/>
      <c r="C300" s="2" t="s">
        <v>41</v>
      </c>
      <c r="D300" s="34" t="s">
        <v>42</v>
      </c>
      <c r="E300" s="34"/>
      <c r="F300" s="34"/>
    </row>
    <row r="301" spans="1:6">
      <c r="A301" s="35"/>
      <c r="B301" s="36"/>
      <c r="C301" s="2" t="s">
        <v>194</v>
      </c>
      <c r="D301" s="34" t="s">
        <v>195</v>
      </c>
      <c r="E301" s="34"/>
      <c r="F301" s="34"/>
    </row>
    <row r="302" spans="1:6">
      <c r="A302" s="35"/>
      <c r="B302" s="36"/>
      <c r="C302" s="2" t="s">
        <v>43</v>
      </c>
      <c r="D302" s="34" t="s">
        <v>44</v>
      </c>
      <c r="E302" s="34"/>
      <c r="F302" s="34"/>
    </row>
    <row r="303" spans="1:6" ht="30">
      <c r="A303" s="35"/>
      <c r="B303" s="36"/>
      <c r="C303" s="2" t="s">
        <v>45</v>
      </c>
      <c r="D303" s="34" t="s">
        <v>46</v>
      </c>
      <c r="E303" s="34"/>
      <c r="F303" s="34"/>
    </row>
    <row r="304" spans="1:6">
      <c r="A304" s="35"/>
      <c r="B304" s="36"/>
      <c r="C304" s="2" t="s">
        <v>51</v>
      </c>
      <c r="D304" s="34" t="s">
        <v>52</v>
      </c>
      <c r="E304" s="34"/>
      <c r="F304" s="34"/>
    </row>
    <row r="305" spans="1:6">
      <c r="A305" s="35"/>
      <c r="B305" s="36"/>
      <c r="C305" s="2" t="s">
        <v>53</v>
      </c>
      <c r="D305" s="34" t="s">
        <v>54</v>
      </c>
      <c r="E305" s="34"/>
      <c r="F305" s="34"/>
    </row>
    <row r="306" spans="1:6">
      <c r="A306" s="35"/>
      <c r="B306" s="36"/>
      <c r="C306" s="2" t="s">
        <v>55</v>
      </c>
      <c r="D306" s="34" t="s">
        <v>56</v>
      </c>
      <c r="E306" s="34"/>
      <c r="F306" s="34"/>
    </row>
    <row r="307" spans="1:6">
      <c r="A307" s="35"/>
      <c r="B307" s="36"/>
      <c r="C307" s="2" t="s">
        <v>57</v>
      </c>
      <c r="D307" s="34" t="s">
        <v>58</v>
      </c>
      <c r="E307" s="34"/>
      <c r="F307" s="34"/>
    </row>
    <row r="308" spans="1:6" ht="30">
      <c r="A308" s="35" t="s">
        <v>196</v>
      </c>
      <c r="B308" s="36" t="s">
        <v>197</v>
      </c>
      <c r="C308" s="2" t="s">
        <v>61</v>
      </c>
      <c r="D308" s="34" t="s">
        <v>62</v>
      </c>
      <c r="E308" s="34"/>
      <c r="F308" s="34"/>
    </row>
    <row r="309" spans="1:6">
      <c r="A309" s="35"/>
      <c r="B309" s="36"/>
      <c r="C309" s="2" t="s">
        <v>63</v>
      </c>
      <c r="D309" s="34" t="s">
        <v>64</v>
      </c>
      <c r="E309" s="34"/>
      <c r="F309" s="34"/>
    </row>
    <row r="310" spans="1:6">
      <c r="A310" s="35"/>
      <c r="B310" s="36"/>
      <c r="C310" s="2" t="s">
        <v>19</v>
      </c>
      <c r="D310" s="34" t="s">
        <v>20</v>
      </c>
      <c r="E310" s="34"/>
      <c r="F310" s="34"/>
    </row>
    <row r="311" spans="1:6">
      <c r="A311" s="35"/>
      <c r="B311" s="36"/>
      <c r="C311" s="2" t="s">
        <v>21</v>
      </c>
      <c r="D311" s="34" t="s">
        <v>65</v>
      </c>
      <c r="E311" s="34"/>
      <c r="F311" s="34"/>
    </row>
    <row r="312" spans="1:6">
      <c r="A312" s="35"/>
      <c r="B312" s="36"/>
      <c r="C312" s="2" t="s">
        <v>23</v>
      </c>
      <c r="D312" s="34" t="s">
        <v>66</v>
      </c>
      <c r="E312" s="34"/>
      <c r="F312" s="34"/>
    </row>
    <row r="313" spans="1:6">
      <c r="A313" s="35"/>
      <c r="B313" s="36"/>
      <c r="C313" s="2" t="s">
        <v>24</v>
      </c>
      <c r="D313" s="34" t="s">
        <v>25</v>
      </c>
      <c r="E313" s="34"/>
      <c r="F313" s="34"/>
    </row>
    <row r="314" spans="1:6">
      <c r="A314" s="35"/>
      <c r="B314" s="36"/>
      <c r="C314" s="2" t="s">
        <v>26</v>
      </c>
      <c r="D314" s="34" t="s">
        <v>27</v>
      </c>
      <c r="E314" s="34"/>
      <c r="F314" s="34"/>
    </row>
    <row r="315" spans="1:6">
      <c r="A315" s="35"/>
      <c r="B315" s="36"/>
      <c r="C315" s="2" t="s">
        <v>28</v>
      </c>
      <c r="D315" s="34" t="s">
        <v>29</v>
      </c>
      <c r="E315" s="34"/>
      <c r="F315" s="34"/>
    </row>
    <row r="316" spans="1:6">
      <c r="A316" s="35"/>
      <c r="B316" s="36"/>
      <c r="C316" s="2" t="s">
        <v>30</v>
      </c>
      <c r="D316" s="34" t="s">
        <v>67</v>
      </c>
      <c r="E316" s="34"/>
      <c r="F316" s="34"/>
    </row>
    <row r="317" spans="1:6">
      <c r="A317" s="35"/>
      <c r="B317" s="36"/>
      <c r="C317" s="2" t="s">
        <v>34</v>
      </c>
      <c r="D317" s="34" t="s">
        <v>69</v>
      </c>
      <c r="E317" s="34"/>
      <c r="F317" s="34"/>
    </row>
    <row r="318" spans="1:6">
      <c r="A318" s="35"/>
      <c r="B318" s="36"/>
      <c r="C318" s="2" t="s">
        <v>35</v>
      </c>
      <c r="D318" s="34" t="s">
        <v>36</v>
      </c>
      <c r="E318" s="34"/>
      <c r="F318" s="34"/>
    </row>
    <row r="319" spans="1:6">
      <c r="A319" s="35"/>
      <c r="B319" s="36"/>
      <c r="C319" s="2" t="s">
        <v>37</v>
      </c>
      <c r="D319" s="34" t="s">
        <v>38</v>
      </c>
      <c r="E319" s="34"/>
      <c r="F319" s="34"/>
    </row>
    <row r="320" spans="1:6">
      <c r="A320" s="35"/>
      <c r="B320" s="36"/>
      <c r="C320" s="2" t="s">
        <v>39</v>
      </c>
      <c r="D320" s="34" t="s">
        <v>40</v>
      </c>
      <c r="E320" s="34"/>
      <c r="F320" s="34"/>
    </row>
    <row r="321" spans="1:6">
      <c r="A321" s="35"/>
      <c r="B321" s="36"/>
      <c r="C321" s="2" t="s">
        <v>41</v>
      </c>
      <c r="D321" s="34" t="s">
        <v>42</v>
      </c>
      <c r="E321" s="34"/>
      <c r="F321" s="34"/>
    </row>
    <row r="322" spans="1:6">
      <c r="A322" s="35"/>
      <c r="B322" s="36"/>
      <c r="C322" s="2" t="s">
        <v>194</v>
      </c>
      <c r="D322" s="34" t="s">
        <v>195</v>
      </c>
      <c r="E322" s="34"/>
      <c r="F322" s="34"/>
    </row>
    <row r="323" spans="1:6">
      <c r="A323" s="35"/>
      <c r="B323" s="36"/>
      <c r="C323" s="2" t="s">
        <v>43</v>
      </c>
      <c r="D323" s="34" t="s">
        <v>44</v>
      </c>
      <c r="E323" s="34"/>
      <c r="F323" s="34"/>
    </row>
    <row r="324" spans="1:6" ht="30">
      <c r="A324" s="35"/>
      <c r="B324" s="36"/>
      <c r="C324" s="2" t="s">
        <v>45</v>
      </c>
      <c r="D324" s="34" t="s">
        <v>46</v>
      </c>
      <c r="E324" s="34"/>
      <c r="F324" s="34"/>
    </row>
    <row r="325" spans="1:6">
      <c r="A325" s="35"/>
      <c r="B325" s="36"/>
      <c r="C325" s="2" t="s">
        <v>51</v>
      </c>
      <c r="D325" s="34" t="s">
        <v>52</v>
      </c>
      <c r="E325" s="34"/>
      <c r="F325" s="34"/>
    </row>
    <row r="326" spans="1:6">
      <c r="A326" s="35" t="s">
        <v>198</v>
      </c>
      <c r="B326" s="36" t="s">
        <v>199</v>
      </c>
      <c r="C326" s="2" t="s">
        <v>19</v>
      </c>
      <c r="D326" s="34" t="s">
        <v>20</v>
      </c>
      <c r="E326" s="34"/>
      <c r="F326" s="34"/>
    </row>
    <row r="327" spans="1:6">
      <c r="A327" s="35"/>
      <c r="B327" s="36"/>
      <c r="C327" s="2" t="s">
        <v>21</v>
      </c>
      <c r="D327" s="34" t="s">
        <v>79</v>
      </c>
      <c r="E327" s="34"/>
      <c r="F327" s="34"/>
    </row>
    <row r="328" spans="1:6">
      <c r="A328" s="35"/>
      <c r="B328" s="36"/>
      <c r="C328" s="2" t="s">
        <v>80</v>
      </c>
      <c r="D328" s="34" t="s">
        <v>81</v>
      </c>
      <c r="E328" s="34"/>
      <c r="F328" s="34"/>
    </row>
    <row r="329" spans="1:6">
      <c r="A329" s="35"/>
      <c r="B329" s="36"/>
      <c r="C329" s="2" t="s">
        <v>82</v>
      </c>
      <c r="D329" s="34" t="s">
        <v>83</v>
      </c>
      <c r="E329" s="34"/>
      <c r="F329" s="34"/>
    </row>
    <row r="330" spans="1:6">
      <c r="A330" s="35"/>
      <c r="B330" s="36"/>
      <c r="C330" s="2" t="s">
        <v>84</v>
      </c>
      <c r="D330" s="34" t="s">
        <v>85</v>
      </c>
      <c r="E330" s="34"/>
      <c r="F330" s="34"/>
    </row>
    <row r="331" spans="1:6">
      <c r="A331" s="35"/>
      <c r="B331" s="36"/>
      <c r="C331" s="2" t="s">
        <v>86</v>
      </c>
      <c r="D331" s="34" t="s">
        <v>87</v>
      </c>
      <c r="E331" s="34"/>
      <c r="F331" s="34"/>
    </row>
    <row r="332" spans="1:6">
      <c r="A332" s="35"/>
      <c r="B332" s="36"/>
      <c r="C332" s="2" t="s">
        <v>88</v>
      </c>
      <c r="D332" s="34" t="s">
        <v>89</v>
      </c>
      <c r="E332" s="34"/>
      <c r="F332" s="34"/>
    </row>
    <row r="333" spans="1:6">
      <c r="A333" s="35"/>
      <c r="B333" s="36"/>
      <c r="C333" s="2" t="s">
        <v>30</v>
      </c>
      <c r="D333" s="34" t="s">
        <v>67</v>
      </c>
      <c r="E333" s="34"/>
      <c r="F333" s="34"/>
    </row>
    <row r="334" spans="1:6">
      <c r="A334" s="35"/>
      <c r="B334" s="36"/>
      <c r="C334" s="2" t="s">
        <v>34</v>
      </c>
      <c r="D334" s="34" t="s">
        <v>69</v>
      </c>
      <c r="E334" s="34"/>
      <c r="F334" s="34"/>
    </row>
    <row r="335" spans="1:6">
      <c r="A335" s="35"/>
      <c r="B335" s="36"/>
      <c r="C335" s="2" t="s">
        <v>35</v>
      </c>
      <c r="D335" s="34" t="s">
        <v>36</v>
      </c>
      <c r="E335" s="34"/>
      <c r="F335" s="34"/>
    </row>
    <row r="336" spans="1:6">
      <c r="A336" s="35"/>
      <c r="B336" s="36"/>
      <c r="C336" s="2" t="s">
        <v>37</v>
      </c>
      <c r="D336" s="34" t="s">
        <v>38</v>
      </c>
      <c r="E336" s="34"/>
      <c r="F336" s="34"/>
    </row>
    <row r="337" spans="1:6">
      <c r="A337" s="35"/>
      <c r="B337" s="36"/>
      <c r="C337" s="2" t="s">
        <v>39</v>
      </c>
      <c r="D337" s="34" t="s">
        <v>40</v>
      </c>
      <c r="E337" s="34"/>
      <c r="F337" s="34"/>
    </row>
    <row r="338" spans="1:6">
      <c r="A338" s="35"/>
      <c r="B338" s="36"/>
      <c r="C338" s="2" t="s">
        <v>41</v>
      </c>
      <c r="D338" s="34" t="s">
        <v>42</v>
      </c>
      <c r="E338" s="34"/>
      <c r="F338" s="34"/>
    </row>
    <row r="339" spans="1:6">
      <c r="A339" s="35"/>
      <c r="B339" s="36"/>
      <c r="C339" s="2" t="s">
        <v>194</v>
      </c>
      <c r="D339" s="34" t="s">
        <v>195</v>
      </c>
      <c r="E339" s="34"/>
      <c r="F339" s="34"/>
    </row>
    <row r="340" spans="1:6">
      <c r="A340" s="35"/>
      <c r="B340" s="36"/>
      <c r="C340" s="2" t="s">
        <v>43</v>
      </c>
      <c r="D340" s="34" t="s">
        <v>44</v>
      </c>
      <c r="E340" s="34"/>
      <c r="F340" s="34"/>
    </row>
    <row r="341" spans="1:6" ht="30">
      <c r="A341" s="35"/>
      <c r="B341" s="36"/>
      <c r="C341" s="2" t="s">
        <v>45</v>
      </c>
      <c r="D341" s="34" t="s">
        <v>46</v>
      </c>
      <c r="E341" s="34"/>
      <c r="F341" s="34"/>
    </row>
    <row r="342" spans="1:6">
      <c r="A342" s="35"/>
      <c r="B342" s="36"/>
      <c r="C342" s="2" t="s">
        <v>51</v>
      </c>
      <c r="D342" s="34" t="s">
        <v>52</v>
      </c>
      <c r="E342" s="34"/>
      <c r="F342" s="34"/>
    </row>
    <row r="343" spans="1:6">
      <c r="A343" s="35"/>
      <c r="B343" s="36"/>
      <c r="C343" s="2" t="s">
        <v>53</v>
      </c>
      <c r="D343" s="34" t="s">
        <v>54</v>
      </c>
      <c r="E343" s="34"/>
      <c r="F343" s="34"/>
    </row>
    <row r="344" spans="1:6">
      <c r="A344" s="35"/>
      <c r="B344" s="36"/>
      <c r="C344" s="2" t="s">
        <v>55</v>
      </c>
      <c r="D344" s="34" t="s">
        <v>56</v>
      </c>
      <c r="E344" s="34"/>
      <c r="F344" s="34"/>
    </row>
    <row r="345" spans="1:6">
      <c r="A345" s="35"/>
      <c r="B345" s="36"/>
      <c r="C345" s="2" t="s">
        <v>57</v>
      </c>
      <c r="D345" s="34" t="s">
        <v>58</v>
      </c>
      <c r="E345" s="34"/>
      <c r="F345" s="34"/>
    </row>
    <row r="346" spans="1:6">
      <c r="A346" s="35" t="s">
        <v>200</v>
      </c>
      <c r="B346" s="36" t="s">
        <v>201</v>
      </c>
      <c r="C346" s="2" t="s">
        <v>92</v>
      </c>
      <c r="D346" s="34" t="s">
        <v>93</v>
      </c>
      <c r="E346" s="34"/>
      <c r="F346" s="34"/>
    </row>
    <row r="347" spans="1:6">
      <c r="A347" s="35"/>
      <c r="B347" s="36"/>
      <c r="C347" s="2" t="s">
        <v>94</v>
      </c>
      <c r="D347" s="34" t="s">
        <v>95</v>
      </c>
      <c r="E347" s="34"/>
      <c r="F347" s="34"/>
    </row>
    <row r="348" spans="1:6">
      <c r="A348" s="35"/>
      <c r="B348" s="36"/>
      <c r="C348" s="2" t="s">
        <v>96</v>
      </c>
      <c r="D348" s="34" t="s">
        <v>97</v>
      </c>
      <c r="E348" s="34"/>
      <c r="F348" s="34"/>
    </row>
    <row r="349" spans="1:6">
      <c r="A349" s="35"/>
      <c r="B349" s="36"/>
      <c r="C349" s="2" t="s">
        <v>19</v>
      </c>
      <c r="D349" s="34" t="s">
        <v>20</v>
      </c>
      <c r="E349" s="34"/>
      <c r="F349" s="34"/>
    </row>
    <row r="350" spans="1:6">
      <c r="A350" s="35"/>
      <c r="B350" s="36"/>
      <c r="C350" s="2" t="s">
        <v>21</v>
      </c>
      <c r="D350" s="34" t="s">
        <v>79</v>
      </c>
      <c r="E350" s="34"/>
      <c r="F350" s="34"/>
    </row>
    <row r="351" spans="1:6">
      <c r="A351" s="35"/>
      <c r="B351" s="36"/>
      <c r="C351" s="2" t="s">
        <v>80</v>
      </c>
      <c r="D351" s="34" t="s">
        <v>81</v>
      </c>
      <c r="E351" s="34"/>
      <c r="F351" s="34"/>
    </row>
    <row r="352" spans="1:6">
      <c r="A352" s="35"/>
      <c r="B352" s="36"/>
      <c r="C352" s="2" t="s">
        <v>82</v>
      </c>
      <c r="D352" s="34" t="s">
        <v>93</v>
      </c>
      <c r="E352" s="34"/>
      <c r="F352" s="34"/>
    </row>
    <row r="353" spans="1:6">
      <c r="A353" s="35"/>
      <c r="B353" s="36"/>
      <c r="C353" s="2" t="s">
        <v>84</v>
      </c>
      <c r="D353" s="34" t="s">
        <v>85</v>
      </c>
      <c r="E353" s="34"/>
      <c r="F353" s="34"/>
    </row>
    <row r="354" spans="1:6">
      <c r="A354" s="35"/>
      <c r="B354" s="36"/>
      <c r="C354" s="2" t="s">
        <v>86</v>
      </c>
      <c r="D354" s="34" t="s">
        <v>87</v>
      </c>
      <c r="E354" s="34"/>
      <c r="F354" s="34"/>
    </row>
    <row r="355" spans="1:6">
      <c r="A355" s="35"/>
      <c r="B355" s="36"/>
      <c r="C355" s="2" t="s">
        <v>88</v>
      </c>
      <c r="D355" s="34" t="s">
        <v>89</v>
      </c>
      <c r="E355" s="34"/>
      <c r="F355" s="34"/>
    </row>
    <row r="356" spans="1:6">
      <c r="A356" s="35"/>
      <c r="B356" s="36"/>
      <c r="C356" s="2" t="s">
        <v>30</v>
      </c>
      <c r="D356" s="34" t="s">
        <v>67</v>
      </c>
      <c r="E356" s="34"/>
      <c r="F356" s="34"/>
    </row>
    <row r="357" spans="1:6">
      <c r="A357" s="35"/>
      <c r="B357" s="36"/>
      <c r="C357" s="2" t="s">
        <v>34</v>
      </c>
      <c r="D357" s="34" t="s">
        <v>69</v>
      </c>
      <c r="E357" s="34"/>
      <c r="F357" s="34"/>
    </row>
    <row r="358" spans="1:6">
      <c r="A358" s="35"/>
      <c r="B358" s="36"/>
      <c r="C358" s="2" t="s">
        <v>35</v>
      </c>
      <c r="D358" s="34" t="s">
        <v>36</v>
      </c>
      <c r="E358" s="34"/>
      <c r="F358" s="34"/>
    </row>
    <row r="359" spans="1:6">
      <c r="A359" s="35"/>
      <c r="B359" s="36"/>
      <c r="C359" s="2" t="s">
        <v>37</v>
      </c>
      <c r="D359" s="34" t="s">
        <v>38</v>
      </c>
      <c r="E359" s="34"/>
      <c r="F359" s="34"/>
    </row>
    <row r="360" spans="1:6">
      <c r="A360" s="35"/>
      <c r="B360" s="36"/>
      <c r="C360" s="2" t="s">
        <v>39</v>
      </c>
      <c r="D360" s="34" t="s">
        <v>40</v>
      </c>
      <c r="E360" s="34"/>
      <c r="F360" s="34"/>
    </row>
    <row r="361" spans="1:6">
      <c r="A361" s="35"/>
      <c r="B361" s="36"/>
      <c r="C361" s="2" t="s">
        <v>41</v>
      </c>
      <c r="D361" s="34" t="s">
        <v>42</v>
      </c>
      <c r="E361" s="34"/>
      <c r="F361" s="34"/>
    </row>
    <row r="362" spans="1:6">
      <c r="A362" s="35"/>
      <c r="B362" s="36"/>
      <c r="C362" s="2" t="s">
        <v>194</v>
      </c>
      <c r="D362" s="34" t="s">
        <v>195</v>
      </c>
      <c r="E362" s="34"/>
      <c r="F362" s="34"/>
    </row>
    <row r="363" spans="1:6">
      <c r="A363" s="35"/>
      <c r="B363" s="36"/>
      <c r="C363" s="2" t="s">
        <v>43</v>
      </c>
      <c r="D363" s="34" t="s">
        <v>44</v>
      </c>
      <c r="E363" s="34"/>
      <c r="F363" s="34"/>
    </row>
    <row r="364" spans="1:6" ht="30">
      <c r="A364" s="35"/>
      <c r="B364" s="36"/>
      <c r="C364" s="2" t="s">
        <v>45</v>
      </c>
      <c r="D364" s="34" t="s">
        <v>46</v>
      </c>
      <c r="E364" s="34"/>
      <c r="F364" s="34"/>
    </row>
    <row r="365" spans="1:6">
      <c r="A365" s="35"/>
      <c r="B365" s="36"/>
      <c r="C365" s="2" t="s">
        <v>51</v>
      </c>
      <c r="D365" s="34" t="s">
        <v>52</v>
      </c>
      <c r="E365" s="34"/>
      <c r="F365" s="34"/>
    </row>
    <row r="366" spans="1:6">
      <c r="A366" s="35" t="s">
        <v>202</v>
      </c>
      <c r="B366" s="36" t="s">
        <v>203</v>
      </c>
      <c r="C366" s="2" t="s">
        <v>100</v>
      </c>
      <c r="D366" s="34" t="s">
        <v>101</v>
      </c>
      <c r="E366" s="34"/>
      <c r="F366" s="34"/>
    </row>
    <row r="367" spans="1:6">
      <c r="A367" s="35"/>
      <c r="B367" s="36"/>
      <c r="C367" s="2" t="s">
        <v>21</v>
      </c>
      <c r="D367" s="34" t="s">
        <v>102</v>
      </c>
      <c r="E367" s="34"/>
      <c r="F367" s="34"/>
    </row>
    <row r="368" spans="1:6">
      <c r="A368" s="35"/>
      <c r="B368" s="36"/>
      <c r="C368" s="2" t="s">
        <v>103</v>
      </c>
      <c r="D368" s="34" t="s">
        <v>103</v>
      </c>
      <c r="E368" s="34"/>
      <c r="F368" s="34"/>
    </row>
    <row r="369" spans="1:6">
      <c r="A369" s="35"/>
      <c r="B369" s="36"/>
      <c r="C369" s="2" t="s">
        <v>104</v>
      </c>
      <c r="D369" s="34" t="s">
        <v>105</v>
      </c>
      <c r="E369" s="34"/>
      <c r="F369" s="34"/>
    </row>
    <row r="370" spans="1:6">
      <c r="A370" s="35"/>
      <c r="B370" s="36"/>
      <c r="C370" s="2" t="s">
        <v>106</v>
      </c>
      <c r="D370" s="34" t="s">
        <v>107</v>
      </c>
      <c r="E370" s="34"/>
      <c r="F370" s="34"/>
    </row>
    <row r="371" spans="1:6">
      <c r="A371" s="35"/>
      <c r="B371" s="36"/>
      <c r="C371" s="2" t="s">
        <v>108</v>
      </c>
      <c r="D371" s="34" t="s">
        <v>109</v>
      </c>
      <c r="E371" s="34"/>
      <c r="F371" s="34"/>
    </row>
    <row r="372" spans="1:6">
      <c r="A372" s="35"/>
      <c r="B372" s="36"/>
      <c r="C372" s="2" t="s">
        <v>30</v>
      </c>
      <c r="D372" s="34" t="s">
        <v>110</v>
      </c>
      <c r="E372" s="34"/>
      <c r="F372" s="34"/>
    </row>
    <row r="373" spans="1:6">
      <c r="A373" s="35"/>
      <c r="B373" s="36"/>
      <c r="C373" s="2" t="s">
        <v>34</v>
      </c>
      <c r="D373" s="34" t="s">
        <v>34</v>
      </c>
      <c r="E373" s="34"/>
      <c r="F373" s="34"/>
    </row>
    <row r="374" spans="1:6">
      <c r="A374" s="35"/>
      <c r="B374" s="36"/>
      <c r="C374" s="2" t="s">
        <v>35</v>
      </c>
      <c r="D374" s="34" t="s">
        <v>36</v>
      </c>
      <c r="E374" s="34"/>
      <c r="F374" s="34"/>
    </row>
    <row r="375" spans="1:6">
      <c r="A375" s="35"/>
      <c r="B375" s="36"/>
      <c r="C375" s="2" t="s">
        <v>37</v>
      </c>
      <c r="D375" s="34" t="s">
        <v>38</v>
      </c>
      <c r="E375" s="34"/>
      <c r="F375" s="34"/>
    </row>
    <row r="376" spans="1:6">
      <c r="A376" s="35"/>
      <c r="B376" s="36"/>
      <c r="C376" s="2" t="s">
        <v>39</v>
      </c>
      <c r="D376" s="34" t="s">
        <v>40</v>
      </c>
      <c r="E376" s="34"/>
      <c r="F376" s="34"/>
    </row>
    <row r="377" spans="1:6">
      <c r="A377" s="35"/>
      <c r="B377" s="36"/>
      <c r="C377" s="2" t="s">
        <v>41</v>
      </c>
      <c r="D377" s="34" t="s">
        <v>42</v>
      </c>
      <c r="E377" s="34"/>
      <c r="F377" s="34"/>
    </row>
    <row r="378" spans="1:6">
      <c r="A378" s="35"/>
      <c r="B378" s="36"/>
      <c r="C378" s="2" t="s">
        <v>194</v>
      </c>
      <c r="D378" s="34" t="s">
        <v>195</v>
      </c>
      <c r="E378" s="34"/>
      <c r="F378" s="34"/>
    </row>
    <row r="379" spans="1:6">
      <c r="A379" s="35"/>
      <c r="B379" s="36"/>
      <c r="C379" s="2" t="s">
        <v>204</v>
      </c>
      <c r="D379" s="34" t="s">
        <v>112</v>
      </c>
      <c r="E379" s="34"/>
      <c r="F379" s="34"/>
    </row>
    <row r="380" spans="1:6">
      <c r="A380" s="35"/>
      <c r="B380" s="36"/>
      <c r="C380" s="2" t="s">
        <v>205</v>
      </c>
      <c r="D380" s="34" t="s">
        <v>114</v>
      </c>
      <c r="E380" s="34"/>
      <c r="F380" s="34"/>
    </row>
    <row r="381" spans="1:6">
      <c r="A381" s="35"/>
      <c r="B381" s="36"/>
      <c r="C381" s="2" t="s">
        <v>53</v>
      </c>
      <c r="D381" s="34" t="s">
        <v>116</v>
      </c>
      <c r="E381" s="34"/>
      <c r="F381" s="34"/>
    </row>
    <row r="382" spans="1:6">
      <c r="A382" s="35"/>
      <c r="B382" s="36"/>
      <c r="C382" s="2" t="s">
        <v>55</v>
      </c>
      <c r="D382" s="34" t="s">
        <v>117</v>
      </c>
      <c r="E382" s="34"/>
      <c r="F382" s="34"/>
    </row>
    <row r="383" spans="1:6">
      <c r="A383" s="35"/>
      <c r="B383" s="36"/>
      <c r="C383" s="2" t="s">
        <v>57</v>
      </c>
      <c r="D383" s="34" t="s">
        <v>118</v>
      </c>
      <c r="E383" s="34"/>
      <c r="F383" s="34"/>
    </row>
    <row r="384" spans="1:6" ht="30">
      <c r="A384" s="35" t="s">
        <v>206</v>
      </c>
      <c r="B384" s="36" t="s">
        <v>207</v>
      </c>
      <c r="C384" s="2" t="s">
        <v>121</v>
      </c>
      <c r="D384" s="34" t="s">
        <v>122</v>
      </c>
      <c r="E384" s="34"/>
      <c r="F384" s="34"/>
    </row>
    <row r="385" spans="1:6" ht="30">
      <c r="A385" s="35"/>
      <c r="B385" s="36"/>
      <c r="C385" s="2" t="s">
        <v>123</v>
      </c>
      <c r="D385" s="34" t="s">
        <v>124</v>
      </c>
      <c r="E385" s="34"/>
      <c r="F385" s="34"/>
    </row>
    <row r="386" spans="1:6">
      <c r="A386" s="35"/>
      <c r="B386" s="36"/>
      <c r="C386" s="2" t="s">
        <v>100</v>
      </c>
      <c r="D386" s="34" t="s">
        <v>101</v>
      </c>
      <c r="E386" s="34"/>
      <c r="F386" s="34"/>
    </row>
    <row r="387" spans="1:6">
      <c r="A387" s="35"/>
      <c r="B387" s="36"/>
      <c r="C387" s="2" t="s">
        <v>21</v>
      </c>
      <c r="D387" s="34" t="s">
        <v>125</v>
      </c>
      <c r="E387" s="34"/>
      <c r="F387" s="34"/>
    </row>
    <row r="388" spans="1:6">
      <c r="A388" s="35"/>
      <c r="B388" s="36"/>
      <c r="C388" s="2" t="s">
        <v>103</v>
      </c>
      <c r="D388" s="34" t="s">
        <v>126</v>
      </c>
      <c r="E388" s="34"/>
      <c r="F388" s="34"/>
    </row>
    <row r="389" spans="1:6">
      <c r="A389" s="35"/>
      <c r="B389" s="36"/>
      <c r="C389" s="2" t="s">
        <v>104</v>
      </c>
      <c r="D389" s="34" t="s">
        <v>105</v>
      </c>
      <c r="E389" s="34"/>
      <c r="F389" s="34"/>
    </row>
    <row r="390" spans="1:6">
      <c r="A390" s="35"/>
      <c r="B390" s="36"/>
      <c r="C390" s="2" t="s">
        <v>106</v>
      </c>
      <c r="D390" s="34" t="s">
        <v>107</v>
      </c>
      <c r="E390" s="34"/>
      <c r="F390" s="34"/>
    </row>
    <row r="391" spans="1:6">
      <c r="A391" s="35"/>
      <c r="B391" s="36"/>
      <c r="C391" s="2" t="s">
        <v>108</v>
      </c>
      <c r="D391" s="34" t="s">
        <v>109</v>
      </c>
      <c r="E391" s="34"/>
      <c r="F391" s="34"/>
    </row>
    <row r="392" spans="1:6">
      <c r="A392" s="35"/>
      <c r="B392" s="36"/>
      <c r="C392" s="2" t="s">
        <v>30</v>
      </c>
      <c r="D392" s="34" t="s">
        <v>127</v>
      </c>
      <c r="E392" s="34"/>
      <c r="F392" s="34"/>
    </row>
    <row r="393" spans="1:6">
      <c r="A393" s="35"/>
      <c r="B393" s="36"/>
      <c r="C393" s="2" t="s">
        <v>34</v>
      </c>
      <c r="D393" s="34" t="s">
        <v>69</v>
      </c>
      <c r="E393" s="34"/>
      <c r="F393" s="34"/>
    </row>
    <row r="394" spans="1:6">
      <c r="A394" s="35"/>
      <c r="B394" s="36"/>
      <c r="C394" s="2" t="s">
        <v>35</v>
      </c>
      <c r="D394" s="34" t="s">
        <v>36</v>
      </c>
      <c r="E394" s="34"/>
      <c r="F394" s="34"/>
    </row>
    <row r="395" spans="1:6">
      <c r="A395" s="35"/>
      <c r="B395" s="36"/>
      <c r="C395" s="2" t="s">
        <v>37</v>
      </c>
      <c r="D395" s="34" t="s">
        <v>38</v>
      </c>
      <c r="E395" s="34"/>
      <c r="F395" s="34"/>
    </row>
    <row r="396" spans="1:6">
      <c r="A396" s="35"/>
      <c r="B396" s="36"/>
      <c r="C396" s="2" t="s">
        <v>39</v>
      </c>
      <c r="D396" s="34" t="s">
        <v>40</v>
      </c>
      <c r="E396" s="34"/>
      <c r="F396" s="34"/>
    </row>
    <row r="397" spans="1:6">
      <c r="A397" s="35"/>
      <c r="B397" s="36"/>
      <c r="C397" s="2" t="s">
        <v>41</v>
      </c>
      <c r="D397" s="34" t="s">
        <v>42</v>
      </c>
      <c r="E397" s="34"/>
      <c r="F397" s="34"/>
    </row>
    <row r="398" spans="1:6">
      <c r="A398" s="35"/>
      <c r="B398" s="36"/>
      <c r="C398" s="2" t="s">
        <v>194</v>
      </c>
      <c r="D398" s="34" t="s">
        <v>195</v>
      </c>
      <c r="E398" s="34"/>
      <c r="F398" s="34"/>
    </row>
    <row r="399" spans="1:6">
      <c r="A399" s="35"/>
      <c r="B399" s="36"/>
      <c r="C399" s="2" t="s">
        <v>176</v>
      </c>
      <c r="D399" s="34" t="s">
        <v>112</v>
      </c>
      <c r="E399" s="34"/>
      <c r="F399" s="34"/>
    </row>
    <row r="400" spans="1:6">
      <c r="A400" s="35"/>
      <c r="B400" s="36"/>
      <c r="C400" s="2" t="s">
        <v>205</v>
      </c>
      <c r="D400" s="34" t="s">
        <v>114</v>
      </c>
      <c r="E400" s="34"/>
      <c r="F400" s="34"/>
    </row>
    <row r="401" spans="1:6">
      <c r="A401" s="35" t="s">
        <v>208</v>
      </c>
      <c r="B401" s="36" t="s">
        <v>209</v>
      </c>
      <c r="C401" s="2" t="s">
        <v>131</v>
      </c>
      <c r="D401" s="34" t="s">
        <v>132</v>
      </c>
      <c r="E401" s="34"/>
      <c r="F401" s="34"/>
    </row>
    <row r="402" spans="1:6">
      <c r="A402" s="35"/>
      <c r="B402" s="36"/>
      <c r="C402" s="2" t="s">
        <v>133</v>
      </c>
      <c r="D402" s="34" t="s">
        <v>134</v>
      </c>
      <c r="E402" s="34"/>
      <c r="F402" s="34"/>
    </row>
    <row r="403" spans="1:6">
      <c r="A403" s="35"/>
      <c r="B403" s="36"/>
      <c r="C403" s="2" t="s">
        <v>135</v>
      </c>
      <c r="D403" s="34" t="s">
        <v>136</v>
      </c>
      <c r="E403" s="34"/>
      <c r="F403" s="34"/>
    </row>
    <row r="404" spans="1:6">
      <c r="A404" s="35"/>
      <c r="B404" s="36"/>
      <c r="C404" s="2" t="s">
        <v>137</v>
      </c>
      <c r="D404" s="34" t="s">
        <v>138</v>
      </c>
      <c r="E404" s="34"/>
      <c r="F404" s="34"/>
    </row>
    <row r="405" spans="1:6">
      <c r="A405" s="35"/>
      <c r="B405" s="36"/>
      <c r="C405" s="2" t="s">
        <v>139</v>
      </c>
      <c r="D405" s="34" t="s">
        <v>140</v>
      </c>
      <c r="E405" s="34"/>
      <c r="F405" s="34"/>
    </row>
    <row r="406" spans="1:6">
      <c r="A406" s="35"/>
      <c r="B406" s="36"/>
      <c r="C406" s="2" t="s">
        <v>141</v>
      </c>
      <c r="D406" s="34" t="s">
        <v>142</v>
      </c>
      <c r="E406" s="34"/>
      <c r="F406" s="34"/>
    </row>
    <row r="407" spans="1:6">
      <c r="A407" s="35"/>
      <c r="B407" s="36"/>
      <c r="C407" s="2" t="s">
        <v>143</v>
      </c>
      <c r="D407" s="34" t="s">
        <v>142</v>
      </c>
      <c r="E407" s="34"/>
      <c r="F407" s="34"/>
    </row>
    <row r="408" spans="1:6">
      <c r="A408" s="35"/>
      <c r="B408" s="36"/>
      <c r="C408" s="2" t="s">
        <v>35</v>
      </c>
      <c r="D408" s="34" t="s">
        <v>36</v>
      </c>
      <c r="E408" s="34"/>
      <c r="F408" s="34"/>
    </row>
    <row r="409" spans="1:6">
      <c r="A409" s="35"/>
      <c r="B409" s="36"/>
      <c r="C409" s="2" t="s">
        <v>37</v>
      </c>
      <c r="D409" s="34" t="s">
        <v>38</v>
      </c>
      <c r="E409" s="34"/>
      <c r="F409" s="34"/>
    </row>
    <row r="410" spans="1:6">
      <c r="A410" s="35"/>
      <c r="B410" s="36"/>
      <c r="C410" s="2" t="s">
        <v>39</v>
      </c>
      <c r="D410" s="34" t="s">
        <v>40</v>
      </c>
      <c r="E410" s="34"/>
      <c r="F410" s="34"/>
    </row>
    <row r="411" spans="1:6">
      <c r="A411" s="35"/>
      <c r="B411" s="36"/>
      <c r="C411" s="2" t="s">
        <v>41</v>
      </c>
      <c r="D411" s="34" t="s">
        <v>42</v>
      </c>
      <c r="E411" s="34"/>
      <c r="F411" s="34"/>
    </row>
    <row r="412" spans="1:6">
      <c r="A412" s="35"/>
      <c r="B412" s="36"/>
      <c r="C412" s="2" t="s">
        <v>144</v>
      </c>
      <c r="D412" s="34" t="s">
        <v>145</v>
      </c>
      <c r="E412" s="34"/>
      <c r="F412" s="34"/>
    </row>
    <row r="413" spans="1:6">
      <c r="A413" s="35"/>
      <c r="B413" s="36"/>
      <c r="C413" s="2" t="s">
        <v>146</v>
      </c>
      <c r="D413" s="34" t="s">
        <v>147</v>
      </c>
      <c r="E413" s="34"/>
      <c r="F413" s="34"/>
    </row>
    <row r="414" spans="1:6">
      <c r="A414" s="35"/>
      <c r="B414" s="36"/>
      <c r="C414" s="2" t="s">
        <v>148</v>
      </c>
      <c r="D414" s="34" t="s">
        <v>149</v>
      </c>
      <c r="E414" s="34"/>
      <c r="F414" s="34"/>
    </row>
    <row r="415" spans="1:6" ht="30">
      <c r="A415" s="35" t="s">
        <v>210</v>
      </c>
      <c r="B415" s="36" t="s">
        <v>211</v>
      </c>
      <c r="C415" s="2" t="s">
        <v>152</v>
      </c>
      <c r="D415" s="34" t="s">
        <v>136</v>
      </c>
      <c r="E415" s="34"/>
      <c r="F415" s="34"/>
    </row>
    <row r="416" spans="1:6" ht="30">
      <c r="A416" s="35"/>
      <c r="B416" s="36"/>
      <c r="C416" s="2" t="s">
        <v>153</v>
      </c>
      <c r="D416" s="34" t="s">
        <v>154</v>
      </c>
      <c r="E416" s="34"/>
      <c r="F416" s="34"/>
    </row>
    <row r="417" spans="1:6" ht="30">
      <c r="A417" s="35"/>
      <c r="B417" s="36"/>
      <c r="C417" s="2" t="s">
        <v>155</v>
      </c>
      <c r="D417" s="34" t="s">
        <v>156</v>
      </c>
      <c r="E417" s="34"/>
      <c r="F417" s="34"/>
    </row>
    <row r="418" spans="1:6">
      <c r="A418" s="35"/>
      <c r="B418" s="36"/>
      <c r="C418" s="2" t="s">
        <v>131</v>
      </c>
      <c r="D418" s="34" t="s">
        <v>157</v>
      </c>
      <c r="E418" s="34"/>
      <c r="F418" s="34"/>
    </row>
    <row r="419" spans="1:6">
      <c r="A419" s="35"/>
      <c r="B419" s="36"/>
      <c r="C419" s="2" t="s">
        <v>133</v>
      </c>
      <c r="D419" s="34" t="s">
        <v>134</v>
      </c>
      <c r="E419" s="34"/>
      <c r="F419" s="34"/>
    </row>
    <row r="420" spans="1:6">
      <c r="A420" s="35"/>
      <c r="B420" s="36"/>
      <c r="C420" s="2" t="s">
        <v>135</v>
      </c>
      <c r="D420" s="34" t="s">
        <v>136</v>
      </c>
      <c r="E420" s="34"/>
      <c r="F420" s="34"/>
    </row>
    <row r="421" spans="1:6">
      <c r="A421" s="35"/>
      <c r="B421" s="36"/>
      <c r="C421" s="2" t="s">
        <v>137</v>
      </c>
      <c r="D421" s="34" t="s">
        <v>138</v>
      </c>
      <c r="E421" s="34"/>
      <c r="F421" s="34"/>
    </row>
    <row r="422" spans="1:6">
      <c r="A422" s="35"/>
      <c r="B422" s="36"/>
      <c r="C422" s="2" t="s">
        <v>139</v>
      </c>
      <c r="D422" s="34" t="s">
        <v>140</v>
      </c>
      <c r="E422" s="34"/>
      <c r="F422" s="34"/>
    </row>
    <row r="423" spans="1:6">
      <c r="A423" s="35"/>
      <c r="B423" s="36"/>
      <c r="C423" s="2" t="s">
        <v>141</v>
      </c>
      <c r="D423" s="34" t="s">
        <v>142</v>
      </c>
      <c r="E423" s="34"/>
      <c r="F423" s="34"/>
    </row>
    <row r="424" spans="1:6">
      <c r="A424" s="35"/>
      <c r="B424" s="36"/>
      <c r="C424" s="2" t="s">
        <v>143</v>
      </c>
      <c r="D424" s="34" t="s">
        <v>142</v>
      </c>
      <c r="E424" s="34"/>
      <c r="F424" s="34"/>
    </row>
    <row r="425" spans="1:6">
      <c r="A425" s="35"/>
      <c r="B425" s="36"/>
      <c r="C425" s="2" t="s">
        <v>35</v>
      </c>
      <c r="D425" s="34" t="s">
        <v>36</v>
      </c>
      <c r="E425" s="34"/>
      <c r="F425" s="34"/>
    </row>
    <row r="426" spans="1:6">
      <c r="A426" s="35"/>
      <c r="B426" s="36"/>
      <c r="C426" s="2" t="s">
        <v>37</v>
      </c>
      <c r="D426" s="34" t="s">
        <v>38</v>
      </c>
      <c r="E426" s="34"/>
      <c r="F426" s="34"/>
    </row>
    <row r="427" spans="1:6">
      <c r="A427" s="35"/>
      <c r="B427" s="36"/>
      <c r="C427" s="2" t="s">
        <v>39</v>
      </c>
      <c r="D427" s="34" t="s">
        <v>40</v>
      </c>
      <c r="E427" s="34"/>
      <c r="F427" s="34"/>
    </row>
    <row r="428" spans="1:6">
      <c r="A428" s="35"/>
      <c r="B428" s="36"/>
      <c r="C428" s="2" t="s">
        <v>41</v>
      </c>
      <c r="D428" s="34" t="s">
        <v>42</v>
      </c>
      <c r="E428" s="34"/>
      <c r="F428" s="34"/>
    </row>
    <row r="429" spans="1:6">
      <c r="A429" s="35"/>
      <c r="B429" s="36"/>
      <c r="C429" s="2" t="s">
        <v>144</v>
      </c>
      <c r="D429" s="34" t="s">
        <v>145</v>
      </c>
      <c r="E429" s="34"/>
      <c r="F429" s="34"/>
    </row>
    <row r="430" spans="1:6">
      <c r="A430" s="35"/>
      <c r="B430" s="36"/>
      <c r="C430" s="2" t="s">
        <v>146</v>
      </c>
      <c r="D430" s="34" t="s">
        <v>147</v>
      </c>
      <c r="E430" s="34"/>
      <c r="F430" s="34"/>
    </row>
    <row r="431" spans="1:6">
      <c r="A431" s="35"/>
      <c r="B431" s="36"/>
      <c r="C431" s="2" t="s">
        <v>148</v>
      </c>
      <c r="D431" s="34" t="s">
        <v>158</v>
      </c>
      <c r="E431" s="34"/>
      <c r="F431" s="34"/>
    </row>
  </sheetData>
  <mergeCells count="478">
    <mergeCell ref="D415:F415"/>
    <mergeCell ref="A415:A431"/>
    <mergeCell ref="B415:B431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D426:F426"/>
    <mergeCell ref="D427:F427"/>
    <mergeCell ref="D428:F428"/>
    <mergeCell ref="D429:F429"/>
    <mergeCell ref="D430:F430"/>
    <mergeCell ref="D431:F431"/>
    <mergeCell ref="D401:F401"/>
    <mergeCell ref="A401:A414"/>
    <mergeCell ref="B401:B414"/>
    <mergeCell ref="D402:F402"/>
    <mergeCell ref="D403:F403"/>
    <mergeCell ref="D404:F404"/>
    <mergeCell ref="D405:F405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384:F384"/>
    <mergeCell ref="A384:A400"/>
    <mergeCell ref="B384:B400"/>
    <mergeCell ref="D385:F385"/>
    <mergeCell ref="D386:F386"/>
    <mergeCell ref="D387:F387"/>
    <mergeCell ref="D388:F388"/>
    <mergeCell ref="D389:F389"/>
    <mergeCell ref="D390:F390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366:F366"/>
    <mergeCell ref="A366:A383"/>
    <mergeCell ref="B366:B383"/>
    <mergeCell ref="D367:F367"/>
    <mergeCell ref="D368:F368"/>
    <mergeCell ref="D369:F369"/>
    <mergeCell ref="D370:F370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46:F346"/>
    <mergeCell ref="A346:A365"/>
    <mergeCell ref="B346:B365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26:F326"/>
    <mergeCell ref="A326:A345"/>
    <mergeCell ref="B326:B345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08:F308"/>
    <mergeCell ref="A308:A325"/>
    <mergeCell ref="B308:B325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289:F289"/>
    <mergeCell ref="A289:A307"/>
    <mergeCell ref="B289:B307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267:F267"/>
    <mergeCell ref="A267:A288"/>
    <mergeCell ref="B267:B288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45:F245"/>
    <mergeCell ref="A245:A266"/>
    <mergeCell ref="B245:B266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25:F225"/>
    <mergeCell ref="A225:A244"/>
    <mergeCell ref="B225:B244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04:F204"/>
    <mergeCell ref="A204:A224"/>
    <mergeCell ref="B204:B22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194:F194"/>
    <mergeCell ref="A194:A203"/>
    <mergeCell ref="B194:B203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186:F186"/>
    <mergeCell ref="A186:A193"/>
    <mergeCell ref="B186:B193"/>
    <mergeCell ref="D187:F187"/>
    <mergeCell ref="D188:F188"/>
    <mergeCell ref="D189:F189"/>
    <mergeCell ref="D190:F190"/>
    <mergeCell ref="D191:F191"/>
    <mergeCell ref="D192:F192"/>
    <mergeCell ref="D193:F193"/>
    <mergeCell ref="D169:F169"/>
    <mergeCell ref="A169:A185"/>
    <mergeCell ref="B169:B185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54:F154"/>
    <mergeCell ref="D155:F155"/>
    <mergeCell ref="A155:A168"/>
    <mergeCell ref="B155:B168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32:F132"/>
    <mergeCell ref="A132:A154"/>
    <mergeCell ref="B132:B154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13:F113"/>
    <mergeCell ref="A113:A131"/>
    <mergeCell ref="B113:B131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82:F82"/>
    <mergeCell ref="D83:F83"/>
    <mergeCell ref="D84:F84"/>
    <mergeCell ref="D85:F85"/>
    <mergeCell ref="D86:F86"/>
    <mergeCell ref="A86:A112"/>
    <mergeCell ref="B86:B112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A59:A85"/>
    <mergeCell ref="B59:B85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29:F29"/>
    <mergeCell ref="D30:F30"/>
    <mergeCell ref="D31:F31"/>
    <mergeCell ref="D32:F32"/>
    <mergeCell ref="D33:F33"/>
    <mergeCell ref="D34:F34"/>
    <mergeCell ref="A34:A58"/>
    <mergeCell ref="B34:B58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>
      <selection sqref="A1:J1"/>
    </sheetView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>
      <c r="A1" s="37" t="s">
        <v>212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38" t="s">
        <v>213</v>
      </c>
      <c r="B2" s="38"/>
      <c r="C2" s="38"/>
      <c r="D2" s="38"/>
      <c r="E2" s="38"/>
      <c r="F2" s="38"/>
      <c r="G2" s="38"/>
      <c r="H2" s="38"/>
      <c r="I2" s="38"/>
      <c r="J2" s="38"/>
    </row>
    <row r="3" spans="1:10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0">
      <c r="A5" s="39" t="s">
        <v>214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ht="33.75">
      <c r="A6" s="3" t="s">
        <v>215</v>
      </c>
      <c r="B6" s="3" t="s">
        <v>216</v>
      </c>
      <c r="C6" s="3" t="s">
        <v>217</v>
      </c>
      <c r="D6" s="3" t="s">
        <v>218</v>
      </c>
      <c r="E6" s="3" t="s">
        <v>219</v>
      </c>
      <c r="F6" s="3" t="s">
        <v>220</v>
      </c>
      <c r="G6" s="3" t="s">
        <v>221</v>
      </c>
      <c r="H6" s="40" t="s">
        <v>222</v>
      </c>
      <c r="I6" s="40"/>
      <c r="J6" s="40"/>
    </row>
    <row r="7" spans="1:10">
      <c r="A7" s="41" t="s">
        <v>223</v>
      </c>
      <c r="B7" s="41"/>
      <c r="C7" s="41"/>
      <c r="D7" s="41"/>
      <c r="E7" s="41"/>
      <c r="F7" s="41"/>
      <c r="G7" s="41"/>
      <c r="H7" s="41"/>
      <c r="I7" s="41"/>
      <c r="J7" s="41"/>
    </row>
    <row r="8" spans="1:10">
      <c r="A8" s="4" t="s">
        <v>224</v>
      </c>
      <c r="B8" s="42" t="s">
        <v>225</v>
      </c>
      <c r="C8" s="42"/>
      <c r="D8" s="42"/>
      <c r="E8" s="42"/>
      <c r="F8" s="42"/>
      <c r="G8" s="42"/>
      <c r="H8" s="42"/>
      <c r="I8" s="42"/>
      <c r="J8" s="42"/>
    </row>
    <row r="9" spans="1:10" ht="36.75">
      <c r="A9" s="5" t="s">
        <v>226</v>
      </c>
      <c r="B9" s="6" t="s">
        <v>227</v>
      </c>
      <c r="C9" s="7" t="s">
        <v>228</v>
      </c>
      <c r="D9" s="8">
        <v>2493968.25</v>
      </c>
      <c r="E9" s="8">
        <v>495516.31</v>
      </c>
      <c r="F9" s="8">
        <v>495516.31</v>
      </c>
      <c r="G9" s="8">
        <v>0</v>
      </c>
      <c r="H9" s="43" t="s">
        <v>229</v>
      </c>
      <c r="I9" s="43"/>
      <c r="J9" s="43"/>
    </row>
    <row r="10" spans="1:10">
      <c r="A10" s="45" t="s">
        <v>230</v>
      </c>
      <c r="B10" s="9" t="s">
        <v>231</v>
      </c>
      <c r="C10" s="44" t="s">
        <v>232</v>
      </c>
      <c r="D10" s="8">
        <v>2493226.13</v>
      </c>
      <c r="E10" s="8">
        <v>495516.31</v>
      </c>
      <c r="F10" s="8">
        <v>495516.31</v>
      </c>
      <c r="G10" s="8">
        <v>0</v>
      </c>
      <c r="H10" s="44" t="s">
        <v>232</v>
      </c>
      <c r="I10" s="44"/>
      <c r="J10" s="44"/>
    </row>
    <row r="11" spans="1:10">
      <c r="A11" s="45"/>
      <c r="B11" s="9" t="s">
        <v>233</v>
      </c>
      <c r="C11" s="44"/>
      <c r="D11" s="8">
        <v>742.12</v>
      </c>
      <c r="E11" s="8">
        <v>0</v>
      </c>
      <c r="F11" s="8">
        <v>0</v>
      </c>
      <c r="G11" s="8">
        <v>0</v>
      </c>
      <c r="H11" s="44"/>
      <c r="I11" s="44"/>
      <c r="J11" s="44"/>
    </row>
    <row r="12" spans="1:10">
      <c r="A12" s="45"/>
      <c r="B12" s="9" t="s">
        <v>234</v>
      </c>
      <c r="C12" s="44"/>
      <c r="D12" s="8">
        <v>0</v>
      </c>
      <c r="E12" s="8">
        <v>0</v>
      </c>
      <c r="F12" s="8">
        <v>0</v>
      </c>
      <c r="G12" s="8">
        <v>0</v>
      </c>
      <c r="H12" s="44"/>
      <c r="I12" s="44"/>
      <c r="J12" s="44"/>
    </row>
    <row r="13" spans="1:10">
      <c r="A13" s="45"/>
      <c r="B13" s="9" t="s">
        <v>235</v>
      </c>
      <c r="C13" s="44"/>
      <c r="D13" s="8">
        <v>0</v>
      </c>
      <c r="E13" s="8">
        <v>0</v>
      </c>
      <c r="F13" s="8">
        <v>0</v>
      </c>
      <c r="G13" s="8">
        <v>0</v>
      </c>
      <c r="H13" s="44"/>
      <c r="I13" s="44"/>
      <c r="J13" s="44"/>
    </row>
    <row r="14" spans="1:10" ht="24.75">
      <c r="A14" s="45"/>
      <c r="B14" s="9" t="s">
        <v>236</v>
      </c>
      <c r="C14" s="44"/>
      <c r="D14" s="8">
        <v>0</v>
      </c>
      <c r="E14" s="8">
        <v>0</v>
      </c>
      <c r="F14" s="8">
        <v>0</v>
      </c>
      <c r="G14" s="8">
        <v>0</v>
      </c>
      <c r="H14" s="44"/>
      <c r="I14" s="44"/>
      <c r="J14" s="44"/>
    </row>
    <row r="15" spans="1:10" ht="24.75">
      <c r="A15" s="45"/>
      <c r="B15" s="9" t="s">
        <v>237</v>
      </c>
      <c r="C15" s="44"/>
      <c r="D15" s="8">
        <v>0</v>
      </c>
      <c r="E15" s="8">
        <v>0</v>
      </c>
      <c r="F15" s="8">
        <v>0</v>
      </c>
      <c r="G15" s="8">
        <v>0</v>
      </c>
      <c r="H15" s="44"/>
      <c r="I15" s="44"/>
      <c r="J15" s="44"/>
    </row>
    <row r="16" spans="1:10">
      <c r="A16" s="5" t="s">
        <v>238</v>
      </c>
      <c r="B16" s="6" t="s">
        <v>239</v>
      </c>
      <c r="C16" s="7" t="s">
        <v>240</v>
      </c>
      <c r="D16" s="8">
        <v>0</v>
      </c>
      <c r="E16" s="8">
        <v>0</v>
      </c>
      <c r="F16" s="8">
        <v>0</v>
      </c>
      <c r="G16" s="8">
        <v>0</v>
      </c>
      <c r="H16" s="43" t="s">
        <v>241</v>
      </c>
      <c r="I16" s="43"/>
      <c r="J16" s="43"/>
    </row>
    <row r="17" spans="1:10">
      <c r="A17" s="45" t="s">
        <v>230</v>
      </c>
      <c r="B17" s="9" t="s">
        <v>242</v>
      </c>
      <c r="C17" s="44" t="s">
        <v>232</v>
      </c>
      <c r="D17" s="8">
        <v>0</v>
      </c>
      <c r="E17" s="8">
        <v>0</v>
      </c>
      <c r="F17" s="8">
        <v>0</v>
      </c>
      <c r="G17" s="8">
        <v>0</v>
      </c>
      <c r="H17" s="44" t="s">
        <v>232</v>
      </c>
      <c r="I17" s="44"/>
      <c r="J17" s="44"/>
    </row>
    <row r="18" spans="1:10">
      <c r="A18" s="45"/>
      <c r="B18" s="9" t="s">
        <v>243</v>
      </c>
      <c r="C18" s="44"/>
      <c r="D18" s="8">
        <v>0</v>
      </c>
      <c r="E18" s="8">
        <v>0</v>
      </c>
      <c r="F18" s="8">
        <v>0</v>
      </c>
      <c r="G18" s="8">
        <v>0</v>
      </c>
      <c r="H18" s="44"/>
      <c r="I18" s="44"/>
      <c r="J18" s="44"/>
    </row>
    <row r="19" spans="1:10" ht="24.75">
      <c r="A19" s="5" t="s">
        <v>244</v>
      </c>
      <c r="B19" s="6" t="s">
        <v>245</v>
      </c>
      <c r="C19" s="7" t="s">
        <v>246</v>
      </c>
      <c r="D19" s="8">
        <v>30254.85</v>
      </c>
      <c r="E19" s="8">
        <v>82.5</v>
      </c>
      <c r="F19" s="8">
        <v>82.5</v>
      </c>
      <c r="G19" s="8">
        <v>0</v>
      </c>
      <c r="H19" s="43" t="s">
        <v>247</v>
      </c>
      <c r="I19" s="43"/>
      <c r="J19" s="43"/>
    </row>
    <row r="20" spans="1:10">
      <c r="A20" s="45" t="s">
        <v>230</v>
      </c>
      <c r="B20" s="9" t="s">
        <v>248</v>
      </c>
      <c r="C20" s="44" t="s">
        <v>232</v>
      </c>
      <c r="D20" s="8">
        <v>30254.85</v>
      </c>
      <c r="E20" s="8">
        <v>82.5</v>
      </c>
      <c r="F20" s="8">
        <v>82.5</v>
      </c>
      <c r="G20" s="8">
        <v>0</v>
      </c>
      <c r="H20" s="44" t="s">
        <v>232</v>
      </c>
      <c r="I20" s="44"/>
      <c r="J20" s="44"/>
    </row>
    <row r="21" spans="1:10">
      <c r="A21" s="45"/>
      <c r="B21" s="9" t="s">
        <v>249</v>
      </c>
      <c r="C21" s="44"/>
      <c r="D21" s="8">
        <v>0</v>
      </c>
      <c r="E21" s="8">
        <v>0</v>
      </c>
      <c r="F21" s="8">
        <v>0</v>
      </c>
      <c r="G21" s="8">
        <v>0</v>
      </c>
      <c r="H21" s="44"/>
      <c r="I21" s="44"/>
      <c r="J21" s="44"/>
    </row>
    <row r="22" spans="1:10">
      <c r="A22" s="45"/>
      <c r="B22" s="9" t="s">
        <v>250</v>
      </c>
      <c r="C22" s="44"/>
      <c r="D22" s="8">
        <v>0</v>
      </c>
      <c r="E22" s="8">
        <v>0</v>
      </c>
      <c r="F22" s="8">
        <v>0</v>
      </c>
      <c r="G22" s="8">
        <v>0</v>
      </c>
      <c r="H22" s="44"/>
      <c r="I22" s="44"/>
      <c r="J22" s="44"/>
    </row>
    <row r="23" spans="1:10">
      <c r="A23" s="45"/>
      <c r="B23" s="9" t="s">
        <v>251</v>
      </c>
      <c r="C23" s="44"/>
      <c r="D23" s="8">
        <v>0</v>
      </c>
      <c r="E23" s="8">
        <v>0</v>
      </c>
      <c r="F23" s="8">
        <v>0</v>
      </c>
      <c r="G23" s="8">
        <v>0</v>
      </c>
      <c r="H23" s="44"/>
      <c r="I23" s="44"/>
      <c r="J23" s="44"/>
    </row>
    <row r="24" spans="1:10">
      <c r="A24" s="5" t="s">
        <v>252</v>
      </c>
      <c r="B24" s="6" t="s">
        <v>253</v>
      </c>
      <c r="C24" s="7" t="s">
        <v>254</v>
      </c>
      <c r="D24" s="8">
        <v>0</v>
      </c>
      <c r="E24" s="8">
        <v>0</v>
      </c>
      <c r="F24" s="8">
        <v>0</v>
      </c>
      <c r="G24" s="8">
        <v>0</v>
      </c>
      <c r="H24" s="43" t="s">
        <v>255</v>
      </c>
      <c r="I24" s="43"/>
      <c r="J24" s="43"/>
    </row>
    <row r="25" spans="1:10" ht="24.75">
      <c r="A25" s="45" t="s">
        <v>230</v>
      </c>
      <c r="B25" s="9" t="s">
        <v>256</v>
      </c>
      <c r="C25" s="44" t="s">
        <v>232</v>
      </c>
      <c r="D25" s="8">
        <v>0</v>
      </c>
      <c r="E25" s="8">
        <v>0</v>
      </c>
      <c r="F25" s="8">
        <v>0</v>
      </c>
      <c r="G25" s="8">
        <v>0</v>
      </c>
      <c r="H25" s="44" t="s">
        <v>232</v>
      </c>
      <c r="I25" s="44"/>
      <c r="J25" s="44"/>
    </row>
    <row r="26" spans="1:10">
      <c r="A26" s="45"/>
      <c r="B26" s="9" t="s">
        <v>257</v>
      </c>
      <c r="C26" s="44"/>
      <c r="D26" s="8">
        <v>0</v>
      </c>
      <c r="E26" s="8">
        <v>0</v>
      </c>
      <c r="F26" s="8">
        <v>0</v>
      </c>
      <c r="G26" s="8">
        <v>0</v>
      </c>
      <c r="H26" s="44"/>
      <c r="I26" s="44"/>
      <c r="J26" s="44"/>
    </row>
    <row r="27" spans="1:10">
      <c r="A27" s="45"/>
      <c r="B27" s="9" t="s">
        <v>258</v>
      </c>
      <c r="C27" s="44"/>
      <c r="D27" s="8">
        <v>0</v>
      </c>
      <c r="E27" s="8">
        <v>0</v>
      </c>
      <c r="F27" s="8">
        <v>0</v>
      </c>
      <c r="G27" s="8">
        <v>0</v>
      </c>
      <c r="H27" s="44"/>
      <c r="I27" s="44"/>
      <c r="J27" s="44"/>
    </row>
    <row r="28" spans="1:10">
      <c r="A28" s="45"/>
      <c r="B28" s="9" t="s">
        <v>259</v>
      </c>
      <c r="C28" s="44"/>
      <c r="D28" s="8">
        <v>0</v>
      </c>
      <c r="E28" s="8">
        <v>0</v>
      </c>
      <c r="F28" s="8">
        <v>0</v>
      </c>
      <c r="G28" s="8">
        <v>0</v>
      </c>
      <c r="H28" s="44"/>
      <c r="I28" s="44"/>
      <c r="J28" s="44"/>
    </row>
    <row r="29" spans="1:10">
      <c r="A29" s="4" t="s">
        <v>260</v>
      </c>
      <c r="B29" s="42" t="s">
        <v>261</v>
      </c>
      <c r="C29" s="42"/>
      <c r="D29" s="42"/>
      <c r="E29" s="42"/>
      <c r="F29" s="42"/>
      <c r="G29" s="42"/>
      <c r="H29" s="42"/>
      <c r="I29" s="42"/>
      <c r="J29" s="42"/>
    </row>
    <row r="30" spans="1:10">
      <c r="A30" s="5" t="s">
        <v>226</v>
      </c>
      <c r="B30" s="6" t="s">
        <v>262</v>
      </c>
      <c r="C30" s="7" t="s">
        <v>263</v>
      </c>
      <c r="D30" s="8">
        <v>15562.33</v>
      </c>
      <c r="E30" s="8">
        <v>1657.44</v>
      </c>
      <c r="F30" s="8">
        <v>1657.44</v>
      </c>
      <c r="G30" s="8">
        <v>0</v>
      </c>
      <c r="H30" s="43" t="s">
        <v>264</v>
      </c>
      <c r="I30" s="43"/>
      <c r="J30" s="43"/>
    </row>
    <row r="31" spans="1:10">
      <c r="A31" s="45" t="s">
        <v>230</v>
      </c>
      <c r="B31" s="9" t="s">
        <v>265</v>
      </c>
      <c r="C31" s="7" t="s">
        <v>228</v>
      </c>
      <c r="D31" s="8">
        <v>15562.33</v>
      </c>
      <c r="E31" s="8">
        <v>1657.44</v>
      </c>
      <c r="F31" s="8">
        <v>1657.44</v>
      </c>
      <c r="G31" s="8">
        <v>0</v>
      </c>
      <c r="H31" s="44" t="s">
        <v>232</v>
      </c>
      <c r="I31" s="44"/>
      <c r="J31" s="44"/>
    </row>
    <row r="32" spans="1:10" ht="24.75">
      <c r="A32" s="45"/>
      <c r="B32" s="9" t="s">
        <v>266</v>
      </c>
      <c r="C32" s="7" t="s">
        <v>228</v>
      </c>
      <c r="D32" s="8">
        <v>0</v>
      </c>
      <c r="E32" s="8">
        <v>0</v>
      </c>
      <c r="F32" s="8">
        <v>0</v>
      </c>
      <c r="G32" s="8">
        <v>0</v>
      </c>
      <c r="H32" s="44"/>
      <c r="I32" s="44"/>
      <c r="J32" s="44"/>
    </row>
    <row r="33" spans="1:10" ht="24">
      <c r="A33" s="45"/>
      <c r="B33" s="9" t="s">
        <v>267</v>
      </c>
      <c r="C33" s="7" t="s">
        <v>246</v>
      </c>
      <c r="D33" s="8">
        <v>0</v>
      </c>
      <c r="E33" s="8">
        <v>0</v>
      </c>
      <c r="F33" s="8">
        <v>0</v>
      </c>
      <c r="G33" s="8">
        <v>0</v>
      </c>
      <c r="H33" s="44"/>
      <c r="I33" s="44"/>
      <c r="J33" s="44"/>
    </row>
    <row r="34" spans="1:10" ht="24.75">
      <c r="A34" s="45"/>
      <c r="B34" s="9" t="s">
        <v>268</v>
      </c>
      <c r="C34" s="7" t="s">
        <v>246</v>
      </c>
      <c r="D34" s="8">
        <v>0</v>
      </c>
      <c r="E34" s="8">
        <v>0</v>
      </c>
      <c r="F34" s="8">
        <v>0</v>
      </c>
      <c r="G34" s="8">
        <v>0</v>
      </c>
      <c r="H34" s="44"/>
      <c r="I34" s="44"/>
      <c r="J34" s="44"/>
    </row>
    <row r="35" spans="1:10">
      <c r="A35" s="45"/>
      <c r="B35" s="9" t="s">
        <v>269</v>
      </c>
      <c r="C35" s="7" t="s">
        <v>240</v>
      </c>
      <c r="D35" s="8">
        <v>0</v>
      </c>
      <c r="E35" s="8">
        <v>0</v>
      </c>
      <c r="F35" s="8">
        <v>0</v>
      </c>
      <c r="G35" s="8">
        <v>0</v>
      </c>
      <c r="H35" s="44"/>
      <c r="I35" s="44"/>
      <c r="J35" s="44"/>
    </row>
    <row r="36" spans="1:10">
      <c r="A36" s="45"/>
      <c r="B36" s="9" t="s">
        <v>270</v>
      </c>
      <c r="C36" s="7" t="s">
        <v>240</v>
      </c>
      <c r="D36" s="8">
        <v>0</v>
      </c>
      <c r="E36" s="8">
        <v>0</v>
      </c>
      <c r="F36" s="8">
        <v>0</v>
      </c>
      <c r="G36" s="8">
        <v>0</v>
      </c>
      <c r="H36" s="44"/>
      <c r="I36" s="44"/>
      <c r="J36" s="44"/>
    </row>
  </sheetData>
  <mergeCells count="26"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sqref="A1:J1"/>
    </sheetView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>
      <c r="A1" s="37" t="s">
        <v>212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38" t="s">
        <v>213</v>
      </c>
      <c r="B2" s="38"/>
      <c r="C2" s="38"/>
      <c r="D2" s="38"/>
      <c r="E2" s="38"/>
      <c r="F2" s="38"/>
      <c r="G2" s="38"/>
      <c r="H2" s="38"/>
      <c r="I2" s="38"/>
      <c r="J2" s="38"/>
    </row>
    <row r="3" spans="1:10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0">
      <c r="A5" s="39" t="s">
        <v>271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ht="33.75">
      <c r="A6" s="3" t="s">
        <v>215</v>
      </c>
      <c r="B6" s="3" t="s">
        <v>216</v>
      </c>
      <c r="C6" s="3" t="s">
        <v>217</v>
      </c>
      <c r="D6" s="3" t="s">
        <v>218</v>
      </c>
      <c r="E6" s="3" t="s">
        <v>219</v>
      </c>
      <c r="F6" s="3" t="s">
        <v>220</v>
      </c>
      <c r="G6" s="3" t="s">
        <v>221</v>
      </c>
      <c r="H6" s="40" t="s">
        <v>222</v>
      </c>
      <c r="I6" s="40"/>
      <c r="J6" s="40"/>
    </row>
    <row r="7" spans="1:10">
      <c r="A7" s="41" t="s">
        <v>272</v>
      </c>
      <c r="B7" s="41"/>
      <c r="C7" s="41"/>
      <c r="D7" s="41"/>
      <c r="E7" s="41"/>
      <c r="F7" s="41"/>
      <c r="G7" s="41"/>
      <c r="H7" s="41"/>
      <c r="I7" s="41"/>
      <c r="J7" s="41"/>
    </row>
    <row r="8" spans="1:10">
      <c r="A8" s="4" t="s">
        <v>224</v>
      </c>
      <c r="B8" s="42" t="s">
        <v>273</v>
      </c>
      <c r="C8" s="42"/>
      <c r="D8" s="42"/>
      <c r="E8" s="42"/>
      <c r="F8" s="42"/>
      <c r="G8" s="42"/>
      <c r="H8" s="42"/>
      <c r="I8" s="42"/>
      <c r="J8" s="42"/>
    </row>
    <row r="9" spans="1:10" ht="24.75">
      <c r="A9" s="5" t="s">
        <v>226</v>
      </c>
      <c r="B9" s="6" t="s">
        <v>274</v>
      </c>
      <c r="C9" s="7" t="s">
        <v>275</v>
      </c>
      <c r="D9" s="8">
        <v>0</v>
      </c>
      <c r="E9" s="8">
        <v>0</v>
      </c>
      <c r="F9" s="8">
        <v>0</v>
      </c>
      <c r="G9" s="8">
        <v>0</v>
      </c>
      <c r="H9" s="43" t="s">
        <v>276</v>
      </c>
      <c r="I9" s="43"/>
      <c r="J9" s="43"/>
    </row>
    <row r="10" spans="1:10">
      <c r="A10" s="45" t="s">
        <v>230</v>
      </c>
      <c r="B10" s="9" t="s">
        <v>248</v>
      </c>
      <c r="C10" s="44" t="s">
        <v>232</v>
      </c>
      <c r="D10" s="8">
        <v>0</v>
      </c>
      <c r="E10" s="8">
        <v>0</v>
      </c>
      <c r="F10" s="8">
        <v>0</v>
      </c>
      <c r="G10" s="8">
        <v>0</v>
      </c>
      <c r="H10" s="44" t="s">
        <v>232</v>
      </c>
      <c r="I10" s="44"/>
      <c r="J10" s="44"/>
    </row>
    <row r="11" spans="1:10">
      <c r="A11" s="45"/>
      <c r="B11" s="9" t="s">
        <v>249</v>
      </c>
      <c r="C11" s="44"/>
      <c r="D11" s="8">
        <v>0</v>
      </c>
      <c r="E11" s="8">
        <v>0</v>
      </c>
      <c r="F11" s="8">
        <v>0</v>
      </c>
      <c r="G11" s="8">
        <v>0</v>
      </c>
      <c r="H11" s="44"/>
      <c r="I11" s="44"/>
      <c r="J11" s="44"/>
    </row>
    <row r="12" spans="1:10">
      <c r="A12" s="45"/>
      <c r="B12" s="9" t="s">
        <v>277</v>
      </c>
      <c r="C12" s="44"/>
      <c r="D12" s="8">
        <v>0</v>
      </c>
      <c r="E12" s="8">
        <v>0</v>
      </c>
      <c r="F12" s="8">
        <v>0</v>
      </c>
      <c r="G12" s="8">
        <v>0</v>
      </c>
      <c r="H12" s="44"/>
      <c r="I12" s="44"/>
      <c r="J12" s="44"/>
    </row>
    <row r="13" spans="1:10">
      <c r="A13" s="45"/>
      <c r="B13" s="9" t="s">
        <v>250</v>
      </c>
      <c r="C13" s="44"/>
      <c r="D13" s="8">
        <v>0</v>
      </c>
      <c r="E13" s="8">
        <v>0</v>
      </c>
      <c r="F13" s="8">
        <v>0</v>
      </c>
      <c r="G13" s="8">
        <v>0</v>
      </c>
      <c r="H13" s="44"/>
      <c r="I13" s="44"/>
      <c r="J13" s="44"/>
    </row>
    <row r="14" spans="1:10">
      <c r="A14" s="45"/>
      <c r="B14" s="9" t="s">
        <v>251</v>
      </c>
      <c r="C14" s="44"/>
      <c r="D14" s="8">
        <v>0</v>
      </c>
      <c r="E14" s="8">
        <v>0</v>
      </c>
      <c r="F14" s="8">
        <v>0</v>
      </c>
      <c r="G14" s="8">
        <v>0</v>
      </c>
      <c r="H14" s="44"/>
      <c r="I14" s="44"/>
      <c r="J14" s="44"/>
    </row>
    <row r="15" spans="1:10">
      <c r="A15" s="45"/>
      <c r="B15" s="9" t="s">
        <v>278</v>
      </c>
      <c r="C15" s="44"/>
      <c r="D15" s="8">
        <v>0</v>
      </c>
      <c r="E15" s="8">
        <v>0</v>
      </c>
      <c r="F15" s="8">
        <v>0</v>
      </c>
      <c r="G15" s="8">
        <v>0</v>
      </c>
      <c r="H15" s="44"/>
      <c r="I15" s="44"/>
      <c r="J15" s="44"/>
    </row>
    <row r="16" spans="1:10">
      <c r="A16" s="5" t="s">
        <v>238</v>
      </c>
      <c r="B16" s="6" t="s">
        <v>239</v>
      </c>
      <c r="C16" s="7" t="s">
        <v>275</v>
      </c>
      <c r="D16" s="8">
        <v>0</v>
      </c>
      <c r="E16" s="8">
        <v>0</v>
      </c>
      <c r="F16" s="8">
        <v>0</v>
      </c>
      <c r="G16" s="8">
        <v>0</v>
      </c>
      <c r="H16" s="43" t="s">
        <v>276</v>
      </c>
      <c r="I16" s="43"/>
      <c r="J16" s="43"/>
    </row>
    <row r="17" spans="1:10">
      <c r="A17" s="45" t="s">
        <v>230</v>
      </c>
      <c r="B17" s="9" t="s">
        <v>242</v>
      </c>
      <c r="C17" s="44" t="s">
        <v>232</v>
      </c>
      <c r="D17" s="8">
        <v>0</v>
      </c>
      <c r="E17" s="8">
        <v>0</v>
      </c>
      <c r="F17" s="8">
        <v>0</v>
      </c>
      <c r="G17" s="8">
        <v>0</v>
      </c>
      <c r="H17" s="44" t="s">
        <v>232</v>
      </c>
      <c r="I17" s="44"/>
      <c r="J17" s="44"/>
    </row>
    <row r="18" spans="1:10">
      <c r="A18" s="45"/>
      <c r="B18" s="9" t="s">
        <v>243</v>
      </c>
      <c r="C18" s="44"/>
      <c r="D18" s="8">
        <v>0</v>
      </c>
      <c r="E18" s="8">
        <v>0</v>
      </c>
      <c r="F18" s="8">
        <v>0</v>
      </c>
      <c r="G18" s="8">
        <v>0</v>
      </c>
      <c r="H18" s="44"/>
      <c r="I18" s="44"/>
      <c r="J18" s="44"/>
    </row>
    <row r="19" spans="1:10" ht="24.75">
      <c r="A19" s="5" t="s">
        <v>244</v>
      </c>
      <c r="B19" s="6" t="s">
        <v>245</v>
      </c>
      <c r="C19" s="7" t="s">
        <v>279</v>
      </c>
      <c r="D19" s="8">
        <v>0</v>
      </c>
      <c r="E19" s="8">
        <v>0</v>
      </c>
      <c r="F19" s="8">
        <v>0</v>
      </c>
      <c r="G19" s="8">
        <v>0</v>
      </c>
      <c r="H19" s="43" t="s">
        <v>280</v>
      </c>
      <c r="I19" s="43"/>
      <c r="J19" s="43"/>
    </row>
    <row r="20" spans="1:10">
      <c r="A20" s="45" t="s">
        <v>230</v>
      </c>
      <c r="B20" s="9" t="s">
        <v>248</v>
      </c>
      <c r="C20" s="44" t="s">
        <v>232</v>
      </c>
      <c r="D20" s="8">
        <v>0</v>
      </c>
      <c r="E20" s="8">
        <v>0</v>
      </c>
      <c r="F20" s="8">
        <v>0</v>
      </c>
      <c r="G20" s="8">
        <v>0</v>
      </c>
      <c r="H20" s="44" t="s">
        <v>232</v>
      </c>
      <c r="I20" s="44"/>
      <c r="J20" s="44"/>
    </row>
    <row r="21" spans="1:10">
      <c r="A21" s="45"/>
      <c r="B21" s="9" t="s">
        <v>249</v>
      </c>
      <c r="C21" s="44"/>
      <c r="D21" s="8">
        <v>0</v>
      </c>
      <c r="E21" s="8">
        <v>0</v>
      </c>
      <c r="F21" s="8">
        <v>0</v>
      </c>
      <c r="G21" s="8">
        <v>0</v>
      </c>
      <c r="H21" s="44"/>
      <c r="I21" s="44"/>
      <c r="J21" s="44"/>
    </row>
    <row r="22" spans="1:10">
      <c r="A22" s="45"/>
      <c r="B22" s="9" t="s">
        <v>250</v>
      </c>
      <c r="C22" s="44"/>
      <c r="D22" s="8">
        <v>0</v>
      </c>
      <c r="E22" s="8">
        <v>0</v>
      </c>
      <c r="F22" s="8">
        <v>0</v>
      </c>
      <c r="G22" s="8">
        <v>0</v>
      </c>
      <c r="H22" s="44"/>
      <c r="I22" s="44"/>
      <c r="J22" s="44"/>
    </row>
    <row r="23" spans="1:10">
      <c r="A23" s="45"/>
      <c r="B23" s="9" t="s">
        <v>251</v>
      </c>
      <c r="C23" s="44"/>
      <c r="D23" s="8">
        <v>0</v>
      </c>
      <c r="E23" s="8">
        <v>0</v>
      </c>
      <c r="F23" s="8">
        <v>0</v>
      </c>
      <c r="G23" s="8">
        <v>0</v>
      </c>
      <c r="H23" s="44"/>
      <c r="I23" s="44"/>
      <c r="J23" s="44"/>
    </row>
    <row r="24" spans="1:10">
      <c r="A24" s="4" t="s">
        <v>260</v>
      </c>
      <c r="B24" s="42" t="s">
        <v>281</v>
      </c>
      <c r="C24" s="42"/>
      <c r="D24" s="42"/>
      <c r="E24" s="42"/>
      <c r="F24" s="42"/>
      <c r="G24" s="42"/>
      <c r="H24" s="42"/>
      <c r="I24" s="42"/>
      <c r="J24" s="42"/>
    </row>
    <row r="25" spans="1:10">
      <c r="A25" s="5" t="s">
        <v>226</v>
      </c>
      <c r="B25" s="6" t="s">
        <v>262</v>
      </c>
      <c r="C25" s="7" t="s">
        <v>263</v>
      </c>
      <c r="D25" s="8">
        <v>0</v>
      </c>
      <c r="E25" s="8">
        <v>0</v>
      </c>
      <c r="F25" s="8">
        <v>0</v>
      </c>
      <c r="G25" s="8">
        <v>0</v>
      </c>
      <c r="H25" s="43" t="s">
        <v>282</v>
      </c>
      <c r="I25" s="43"/>
      <c r="J25" s="43"/>
    </row>
    <row r="26" spans="1:10">
      <c r="A26" s="45" t="s">
        <v>230</v>
      </c>
      <c r="B26" s="9" t="s">
        <v>283</v>
      </c>
      <c r="C26" s="7" t="s">
        <v>228</v>
      </c>
      <c r="D26" s="8">
        <v>0</v>
      </c>
      <c r="E26" s="8">
        <v>0</v>
      </c>
      <c r="F26" s="8">
        <v>0</v>
      </c>
      <c r="G26" s="8">
        <v>0</v>
      </c>
      <c r="H26" s="44" t="s">
        <v>232</v>
      </c>
      <c r="I26" s="44"/>
      <c r="J26" s="44"/>
    </row>
    <row r="27" spans="1:10">
      <c r="A27" s="45"/>
      <c r="B27" s="9" t="s">
        <v>284</v>
      </c>
      <c r="C27" s="7" t="s">
        <v>228</v>
      </c>
      <c r="D27" s="8">
        <v>0</v>
      </c>
      <c r="E27" s="8">
        <v>0</v>
      </c>
      <c r="F27" s="8">
        <v>0</v>
      </c>
      <c r="G27" s="8">
        <v>0</v>
      </c>
      <c r="H27" s="44"/>
      <c r="I27" s="44"/>
      <c r="J27" s="44"/>
    </row>
    <row r="28" spans="1:10">
      <c r="A28" s="45"/>
      <c r="B28" s="9" t="s">
        <v>267</v>
      </c>
      <c r="C28" s="7" t="s">
        <v>285</v>
      </c>
      <c r="D28" s="8">
        <v>0</v>
      </c>
      <c r="E28" s="8">
        <v>0</v>
      </c>
      <c r="F28" s="8">
        <v>0</v>
      </c>
      <c r="G28" s="8">
        <v>0</v>
      </c>
      <c r="H28" s="44"/>
      <c r="I28" s="44"/>
      <c r="J28" s="44"/>
    </row>
    <row r="29" spans="1:10" ht="24.75">
      <c r="A29" s="45"/>
      <c r="B29" s="9" t="s">
        <v>268</v>
      </c>
      <c r="C29" s="7" t="s">
        <v>285</v>
      </c>
      <c r="D29" s="8">
        <v>0</v>
      </c>
      <c r="E29" s="8">
        <v>0</v>
      </c>
      <c r="F29" s="8">
        <v>0</v>
      </c>
      <c r="G29" s="8">
        <v>0</v>
      </c>
      <c r="H29" s="44"/>
      <c r="I29" s="44"/>
      <c r="J29" s="44"/>
    </row>
    <row r="30" spans="1:10">
      <c r="A30" s="45"/>
      <c r="B30" s="9" t="s">
        <v>269</v>
      </c>
      <c r="C30" s="7" t="s">
        <v>240</v>
      </c>
      <c r="D30" s="8">
        <v>0</v>
      </c>
      <c r="E30" s="8">
        <v>0</v>
      </c>
      <c r="F30" s="8">
        <v>0</v>
      </c>
      <c r="G30" s="8">
        <v>0</v>
      </c>
      <c r="H30" s="44"/>
      <c r="I30" s="44"/>
      <c r="J30" s="44"/>
    </row>
    <row r="31" spans="1:10">
      <c r="A31" s="45"/>
      <c r="B31" s="9" t="s">
        <v>286</v>
      </c>
      <c r="C31" s="7" t="s">
        <v>240</v>
      </c>
      <c r="D31" s="8">
        <v>0</v>
      </c>
      <c r="E31" s="8">
        <v>0</v>
      </c>
      <c r="F31" s="8">
        <v>0</v>
      </c>
      <c r="G31" s="8">
        <v>0</v>
      </c>
      <c r="H31" s="44"/>
      <c r="I31" s="44"/>
      <c r="J31" s="44"/>
    </row>
  </sheetData>
  <mergeCells count="22">
    <mergeCell ref="H26:J31"/>
    <mergeCell ref="A26:A31"/>
    <mergeCell ref="H20:J23"/>
    <mergeCell ref="A20:A23"/>
    <mergeCell ref="C20:C23"/>
    <mergeCell ref="B24:J24"/>
    <mergeCell ref="H25:J25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defaultRowHeight="15"/>
  <cols>
    <col min="1" max="1" width="6.140625" customWidth="1"/>
    <col min="2" max="2" width="29" customWidth="1"/>
    <col min="3" max="3" width="6.5703125" customWidth="1"/>
    <col min="4" max="8" width="8.42578125" customWidth="1"/>
    <col min="9" max="10" width="15.42578125" customWidth="1"/>
  </cols>
  <sheetData>
    <row r="1" spans="1:10" ht="15.75">
      <c r="A1" s="37" t="s">
        <v>212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38" t="s">
        <v>213</v>
      </c>
      <c r="B2" s="38"/>
      <c r="C2" s="38"/>
      <c r="D2" s="38"/>
      <c r="E2" s="38"/>
      <c r="F2" s="38"/>
      <c r="G2" s="38"/>
      <c r="H2" s="38"/>
      <c r="I2" s="38"/>
      <c r="J2" s="38"/>
    </row>
    <row r="3" spans="1:10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0">
      <c r="A5" s="39" t="s">
        <v>287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ht="33.75">
      <c r="A6" s="3" t="s">
        <v>215</v>
      </c>
      <c r="B6" s="3" t="s">
        <v>216</v>
      </c>
      <c r="C6" s="3" t="s">
        <v>217</v>
      </c>
      <c r="D6" s="3" t="s">
        <v>218</v>
      </c>
      <c r="E6" s="3" t="s">
        <v>219</v>
      </c>
      <c r="F6" s="3" t="s">
        <v>220</v>
      </c>
      <c r="G6" s="3" t="s">
        <v>221</v>
      </c>
      <c r="H6" s="40" t="s">
        <v>222</v>
      </c>
      <c r="I6" s="40"/>
      <c r="J6" s="40"/>
    </row>
    <row r="7" spans="1:10">
      <c r="A7" s="41" t="s">
        <v>272</v>
      </c>
      <c r="B7" s="41"/>
      <c r="C7" s="41"/>
      <c r="D7" s="41"/>
      <c r="E7" s="41"/>
      <c r="F7" s="41"/>
      <c r="G7" s="41"/>
      <c r="H7" s="41"/>
      <c r="I7" s="41"/>
      <c r="J7" s="41"/>
    </row>
    <row r="8" spans="1:10">
      <c r="A8" s="4" t="s">
        <v>224</v>
      </c>
      <c r="B8" s="42" t="s">
        <v>181</v>
      </c>
      <c r="C8" s="42"/>
      <c r="D8" s="42"/>
      <c r="E8" s="42"/>
      <c r="F8" s="42"/>
      <c r="G8" s="42"/>
      <c r="H8" s="42"/>
      <c r="I8" s="42"/>
      <c r="J8" s="42"/>
    </row>
    <row r="9" spans="1:10" ht="21.95" customHeight="1">
      <c r="A9" s="5" t="s">
        <v>226</v>
      </c>
      <c r="B9" s="10" t="s">
        <v>288</v>
      </c>
      <c r="C9" s="7" t="s">
        <v>289</v>
      </c>
      <c r="D9" s="8">
        <v>0</v>
      </c>
      <c r="E9" s="8">
        <v>0</v>
      </c>
      <c r="F9" s="8">
        <v>0</v>
      </c>
      <c r="G9" s="8">
        <v>0</v>
      </c>
      <c r="H9" s="43" t="s">
        <v>290</v>
      </c>
      <c r="I9" s="43"/>
      <c r="J9" s="43"/>
    </row>
    <row r="10" spans="1:10">
      <c r="A10" s="45" t="s">
        <v>230</v>
      </c>
      <c r="B10" s="9" t="s">
        <v>248</v>
      </c>
      <c r="C10" s="44" t="s">
        <v>232</v>
      </c>
      <c r="D10" s="8">
        <v>0</v>
      </c>
      <c r="E10" s="8">
        <v>0</v>
      </c>
      <c r="F10" s="8">
        <v>0</v>
      </c>
      <c r="G10" s="8">
        <v>0</v>
      </c>
      <c r="H10" s="44" t="s">
        <v>232</v>
      </c>
      <c r="I10" s="44"/>
      <c r="J10" s="44"/>
    </row>
    <row r="11" spans="1:10">
      <c r="A11" s="45"/>
      <c r="B11" s="9" t="s">
        <v>249</v>
      </c>
      <c r="C11" s="44"/>
      <c r="D11" s="8">
        <v>0</v>
      </c>
      <c r="E11" s="8">
        <v>0</v>
      </c>
      <c r="F11" s="8">
        <v>0</v>
      </c>
      <c r="G11" s="8">
        <v>0</v>
      </c>
      <c r="H11" s="44"/>
      <c r="I11" s="44"/>
      <c r="J11" s="44"/>
    </row>
    <row r="12" spans="1:10">
      <c r="A12" s="45"/>
      <c r="B12" s="9" t="s">
        <v>250</v>
      </c>
      <c r="C12" s="44"/>
      <c r="D12" s="8">
        <v>0</v>
      </c>
      <c r="E12" s="8">
        <v>0</v>
      </c>
      <c r="F12" s="8">
        <v>0</v>
      </c>
      <c r="G12" s="8">
        <v>0</v>
      </c>
      <c r="H12" s="44"/>
      <c r="I12" s="44"/>
      <c r="J12" s="44"/>
    </row>
    <row r="13" spans="1:10">
      <c r="A13" s="45"/>
      <c r="B13" s="9" t="s">
        <v>251</v>
      </c>
      <c r="C13" s="44"/>
      <c r="D13" s="8">
        <v>0</v>
      </c>
      <c r="E13" s="8">
        <v>0</v>
      </c>
      <c r="F13" s="8">
        <v>0</v>
      </c>
      <c r="G13" s="8">
        <v>0</v>
      </c>
      <c r="H13" s="44"/>
      <c r="I13" s="44"/>
      <c r="J13" s="44"/>
    </row>
  </sheetData>
  <mergeCells count="10">
    <mergeCell ref="B8:J8"/>
    <mergeCell ref="H9:J9"/>
    <mergeCell ref="H10:J13"/>
    <mergeCell ref="A10:A13"/>
    <mergeCell ref="C10:C13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activeCell="A2" sqref="A2:J4"/>
    </sheetView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>
      <c r="A1" s="37" t="s">
        <v>212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38" t="s">
        <v>291</v>
      </c>
      <c r="B2" s="38"/>
      <c r="C2" s="38"/>
      <c r="D2" s="38"/>
      <c r="E2" s="38"/>
      <c r="F2" s="38"/>
      <c r="G2" s="38"/>
      <c r="H2" s="38"/>
      <c r="I2" s="38"/>
      <c r="J2" s="38"/>
    </row>
    <row r="3" spans="1:10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0">
      <c r="A5" s="39" t="s">
        <v>292</v>
      </c>
      <c r="B5" s="39"/>
      <c r="C5" s="39"/>
      <c r="D5" s="39"/>
      <c r="E5" s="39"/>
      <c r="F5" s="39"/>
      <c r="G5" s="39"/>
      <c r="H5" s="39"/>
      <c r="I5" s="39"/>
      <c r="J5" s="39"/>
    </row>
    <row r="6" spans="1:10" ht="33.75">
      <c r="A6" s="3" t="s">
        <v>215</v>
      </c>
      <c r="B6" s="3" t="s">
        <v>216</v>
      </c>
      <c r="C6" s="3" t="s">
        <v>217</v>
      </c>
      <c r="D6" s="3" t="s">
        <v>218</v>
      </c>
      <c r="E6" s="3" t="s">
        <v>219</v>
      </c>
      <c r="F6" s="3" t="s">
        <v>220</v>
      </c>
      <c r="G6" s="3" t="s">
        <v>221</v>
      </c>
      <c r="H6" s="40" t="s">
        <v>222</v>
      </c>
      <c r="I6" s="40"/>
      <c r="J6" s="40"/>
    </row>
    <row r="7" spans="1:10">
      <c r="A7" s="41" t="s">
        <v>293</v>
      </c>
      <c r="B7" s="41"/>
      <c r="C7" s="41"/>
      <c r="D7" s="41"/>
      <c r="E7" s="41"/>
      <c r="F7" s="41"/>
      <c r="G7" s="41"/>
      <c r="H7" s="41"/>
      <c r="I7" s="41"/>
      <c r="J7" s="41"/>
    </row>
    <row r="8" spans="1:10">
      <c r="A8" s="4" t="s">
        <v>224</v>
      </c>
      <c r="B8" s="42" t="s">
        <v>294</v>
      </c>
      <c r="C8" s="42"/>
      <c r="D8" s="42"/>
      <c r="E8" s="42"/>
      <c r="F8" s="42"/>
      <c r="G8" s="42"/>
      <c r="H8" s="42"/>
      <c r="I8" s="42"/>
      <c r="J8" s="42"/>
    </row>
    <row r="9" spans="1:10" ht="36.75">
      <c r="A9" s="5" t="s">
        <v>226</v>
      </c>
      <c r="B9" s="6" t="s">
        <v>227</v>
      </c>
      <c r="C9" s="7" t="s">
        <v>295</v>
      </c>
      <c r="D9" s="8">
        <v>0</v>
      </c>
      <c r="E9" s="8">
        <v>0</v>
      </c>
      <c r="F9" s="8">
        <v>0</v>
      </c>
      <c r="G9" s="8">
        <v>0</v>
      </c>
      <c r="H9" s="43" t="s">
        <v>296</v>
      </c>
      <c r="I9" s="43"/>
      <c r="J9" s="43"/>
    </row>
    <row r="10" spans="1:10">
      <c r="A10" s="45" t="s">
        <v>230</v>
      </c>
      <c r="B10" s="9" t="s">
        <v>231</v>
      </c>
      <c r="C10" s="44" t="s">
        <v>232</v>
      </c>
      <c r="D10" s="8">
        <v>0</v>
      </c>
      <c r="E10" s="8">
        <v>0</v>
      </c>
      <c r="F10" s="8">
        <v>0</v>
      </c>
      <c r="G10" s="8">
        <v>0</v>
      </c>
      <c r="H10" s="44" t="s">
        <v>232</v>
      </c>
      <c r="I10" s="44"/>
      <c r="J10" s="44"/>
    </row>
    <row r="11" spans="1:10">
      <c r="A11" s="45"/>
      <c r="B11" s="9" t="s">
        <v>233</v>
      </c>
      <c r="C11" s="44"/>
      <c r="D11" s="8">
        <v>0</v>
      </c>
      <c r="E11" s="8">
        <v>0</v>
      </c>
      <c r="F11" s="8">
        <v>0</v>
      </c>
      <c r="G11" s="8">
        <v>0</v>
      </c>
      <c r="H11" s="44"/>
      <c r="I11" s="44"/>
      <c r="J11" s="44"/>
    </row>
    <row r="12" spans="1:10">
      <c r="A12" s="45"/>
      <c r="B12" s="9" t="s">
        <v>234</v>
      </c>
      <c r="C12" s="44"/>
      <c r="D12" s="8">
        <v>0</v>
      </c>
      <c r="E12" s="8">
        <v>0</v>
      </c>
      <c r="F12" s="8">
        <v>0</v>
      </c>
      <c r="G12" s="8">
        <v>0</v>
      </c>
      <c r="H12" s="44"/>
      <c r="I12" s="44"/>
      <c r="J12" s="44"/>
    </row>
    <row r="13" spans="1:10">
      <c r="A13" s="45"/>
      <c r="B13" s="9" t="s">
        <v>235</v>
      </c>
      <c r="C13" s="44"/>
      <c r="D13" s="8">
        <v>0</v>
      </c>
      <c r="E13" s="8">
        <v>0</v>
      </c>
      <c r="F13" s="8">
        <v>0</v>
      </c>
      <c r="G13" s="8">
        <v>0</v>
      </c>
      <c r="H13" s="44"/>
      <c r="I13" s="44"/>
      <c r="J13" s="44"/>
    </row>
    <row r="14" spans="1:10" ht="24.75">
      <c r="A14" s="45"/>
      <c r="B14" s="9" t="s">
        <v>236</v>
      </c>
      <c r="C14" s="44"/>
      <c r="D14" s="8">
        <v>0</v>
      </c>
      <c r="E14" s="8">
        <v>0</v>
      </c>
      <c r="F14" s="8">
        <v>0</v>
      </c>
      <c r="G14" s="8">
        <v>0</v>
      </c>
      <c r="H14" s="44"/>
      <c r="I14" s="44"/>
      <c r="J14" s="44"/>
    </row>
    <row r="15" spans="1:10" ht="24.75">
      <c r="A15" s="45"/>
      <c r="B15" s="9" t="s">
        <v>237</v>
      </c>
      <c r="C15" s="44"/>
      <c r="D15" s="8">
        <v>0</v>
      </c>
      <c r="E15" s="8">
        <v>0</v>
      </c>
      <c r="F15" s="8">
        <v>0</v>
      </c>
      <c r="G15" s="8">
        <v>0</v>
      </c>
      <c r="H15" s="44"/>
      <c r="I15" s="44"/>
      <c r="J15" s="44"/>
    </row>
    <row r="16" spans="1:10">
      <c r="A16" s="5" t="s">
        <v>238</v>
      </c>
      <c r="B16" s="6" t="s">
        <v>239</v>
      </c>
      <c r="C16" s="7" t="s">
        <v>295</v>
      </c>
      <c r="D16" s="8">
        <v>0</v>
      </c>
      <c r="E16" s="8">
        <v>0</v>
      </c>
      <c r="F16" s="8">
        <v>0</v>
      </c>
      <c r="G16" s="8">
        <v>0</v>
      </c>
      <c r="H16" s="43" t="s">
        <v>296</v>
      </c>
      <c r="I16" s="43"/>
      <c r="J16" s="43"/>
    </row>
    <row r="17" spans="1:10">
      <c r="A17" s="45" t="s">
        <v>230</v>
      </c>
      <c r="B17" s="9" t="s">
        <v>242</v>
      </c>
      <c r="C17" s="44" t="s">
        <v>232</v>
      </c>
      <c r="D17" s="8">
        <v>0</v>
      </c>
      <c r="E17" s="8">
        <v>0</v>
      </c>
      <c r="F17" s="8">
        <v>0</v>
      </c>
      <c r="G17" s="8">
        <v>0</v>
      </c>
      <c r="H17" s="44" t="s">
        <v>232</v>
      </c>
      <c r="I17" s="44"/>
      <c r="J17" s="44"/>
    </row>
    <row r="18" spans="1:10">
      <c r="A18" s="45"/>
      <c r="B18" s="9" t="s">
        <v>243</v>
      </c>
      <c r="C18" s="44"/>
      <c r="D18" s="8">
        <v>0</v>
      </c>
      <c r="E18" s="8">
        <v>0</v>
      </c>
      <c r="F18" s="8">
        <v>0</v>
      </c>
      <c r="G18" s="8">
        <v>0</v>
      </c>
      <c r="H18" s="44"/>
      <c r="I18" s="44"/>
      <c r="J18" s="44"/>
    </row>
    <row r="19" spans="1:10">
      <c r="A19" s="4" t="s">
        <v>260</v>
      </c>
      <c r="B19" s="42" t="s">
        <v>297</v>
      </c>
      <c r="C19" s="42"/>
      <c r="D19" s="42"/>
      <c r="E19" s="42"/>
      <c r="F19" s="42"/>
      <c r="G19" s="42"/>
      <c r="H19" s="42"/>
      <c r="I19" s="42"/>
      <c r="J19" s="42"/>
    </row>
    <row r="20" spans="1:10">
      <c r="A20" s="5" t="s">
        <v>226</v>
      </c>
      <c r="B20" s="6" t="s">
        <v>262</v>
      </c>
      <c r="C20" s="7" t="s">
        <v>295</v>
      </c>
      <c r="D20" s="8">
        <v>0</v>
      </c>
      <c r="E20" s="8">
        <v>0</v>
      </c>
      <c r="F20" s="8">
        <v>0</v>
      </c>
      <c r="G20" s="8">
        <v>0</v>
      </c>
      <c r="H20" s="43" t="s">
        <v>298</v>
      </c>
      <c r="I20" s="43"/>
      <c r="J20" s="43"/>
    </row>
    <row r="21" spans="1:10">
      <c r="A21" s="45" t="s">
        <v>230</v>
      </c>
      <c r="B21" s="9" t="s">
        <v>265</v>
      </c>
      <c r="C21" s="7" t="s">
        <v>295</v>
      </c>
      <c r="D21" s="8">
        <v>0</v>
      </c>
      <c r="E21" s="8">
        <v>0</v>
      </c>
      <c r="F21" s="8">
        <v>0</v>
      </c>
      <c r="G21" s="8">
        <v>0</v>
      </c>
      <c r="H21" s="44" t="s">
        <v>232</v>
      </c>
      <c r="I21" s="44"/>
      <c r="J21" s="44"/>
    </row>
    <row r="22" spans="1:10" ht="24.75">
      <c r="A22" s="45"/>
      <c r="B22" s="9" t="s">
        <v>266</v>
      </c>
      <c r="C22" s="7" t="s">
        <v>295</v>
      </c>
      <c r="D22" s="8">
        <v>0</v>
      </c>
      <c r="E22" s="8">
        <v>0</v>
      </c>
      <c r="F22" s="8">
        <v>0</v>
      </c>
      <c r="G22" s="8">
        <v>0</v>
      </c>
      <c r="H22" s="44"/>
      <c r="I22" s="44"/>
      <c r="J22" s="44"/>
    </row>
    <row r="23" spans="1:10">
      <c r="A23" s="45"/>
      <c r="B23" s="9" t="s">
        <v>269</v>
      </c>
      <c r="C23" s="7" t="s">
        <v>295</v>
      </c>
      <c r="D23" s="8">
        <v>0</v>
      </c>
      <c r="E23" s="8">
        <v>0</v>
      </c>
      <c r="F23" s="8">
        <v>0</v>
      </c>
      <c r="G23" s="8">
        <v>0</v>
      </c>
      <c r="H23" s="44"/>
      <c r="I23" s="44"/>
      <c r="J23" s="44"/>
    </row>
    <row r="24" spans="1:10">
      <c r="A24" s="45"/>
      <c r="B24" s="9" t="s">
        <v>286</v>
      </c>
      <c r="C24" s="7" t="s">
        <v>295</v>
      </c>
      <c r="D24" s="8">
        <v>0</v>
      </c>
      <c r="E24" s="8">
        <v>0</v>
      </c>
      <c r="F24" s="8">
        <v>0</v>
      </c>
      <c r="G24" s="8">
        <v>0</v>
      </c>
      <c r="H24" s="44"/>
      <c r="I24" s="44"/>
      <c r="J24" s="44"/>
    </row>
  </sheetData>
  <mergeCells count="18">
    <mergeCell ref="H20:J20"/>
    <mergeCell ref="H21:J24"/>
    <mergeCell ref="A21:A24"/>
    <mergeCell ref="H16:J16"/>
    <mergeCell ref="H17:J18"/>
    <mergeCell ref="A17:A18"/>
    <mergeCell ref="C17:C18"/>
    <mergeCell ref="B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02"/>
  <sheetViews>
    <sheetView tabSelected="1" workbookViewId="0">
      <pane xSplit="4" ySplit="3" topLeftCell="J192" activePane="bottomRight" state="frozen"/>
      <selection pane="topRight" activeCell="E1" sqref="E1"/>
      <selection pane="bottomLeft" activeCell="A4" sqref="A4"/>
      <selection pane="bottomRight" activeCell="L202" sqref="L202"/>
    </sheetView>
  </sheetViews>
  <sheetFormatPr defaultRowHeight="15"/>
  <cols>
    <col min="1" max="2" width="20" customWidth="1"/>
    <col min="3" max="3" width="16.85546875" customWidth="1"/>
    <col min="4" max="4" width="9.140625" customWidth="1"/>
    <col min="5" max="5" width="11.5703125" customWidth="1"/>
    <col min="6" max="6" width="20" customWidth="1"/>
    <col min="7" max="7" width="12.7109375" customWidth="1"/>
    <col min="8" max="8" width="8.7109375" customWidth="1"/>
    <col min="9" max="18" width="20" customWidth="1"/>
    <col min="19" max="21" width="14" customWidth="1"/>
  </cols>
  <sheetData>
    <row r="1" spans="1:21" ht="2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 ht="19.5" customHeight="1">
      <c r="A2" s="19" t="s">
        <v>299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1" ht="19.5" customHeight="1">
      <c r="A3" s="20" t="s">
        <v>20</v>
      </c>
      <c r="B3" s="20" t="s">
        <v>21</v>
      </c>
      <c r="C3" s="21" t="s">
        <v>23</v>
      </c>
      <c r="D3" s="21" t="s">
        <v>24</v>
      </c>
      <c r="E3" s="21" t="s">
        <v>305</v>
      </c>
      <c r="F3" s="21" t="s">
        <v>306</v>
      </c>
      <c r="G3" s="20" t="s">
        <v>30</v>
      </c>
      <c r="H3" s="20" t="s">
        <v>301</v>
      </c>
      <c r="I3" s="20" t="s">
        <v>302</v>
      </c>
      <c r="J3" s="21" t="s">
        <v>307</v>
      </c>
      <c r="K3" s="21" t="s">
        <v>308</v>
      </c>
      <c r="L3" s="21" t="s">
        <v>309</v>
      </c>
      <c r="M3" s="21" t="s">
        <v>310</v>
      </c>
      <c r="N3" s="20" t="s">
        <v>43</v>
      </c>
      <c r="O3" s="20" t="s">
        <v>45</v>
      </c>
      <c r="P3" s="20" t="s">
        <v>47</v>
      </c>
      <c r="Q3" s="20" t="s">
        <v>49</v>
      </c>
      <c r="R3" s="20" t="s">
        <v>51</v>
      </c>
      <c r="S3" s="20" t="s">
        <v>53</v>
      </c>
      <c r="T3" s="20" t="s">
        <v>55</v>
      </c>
      <c r="U3" s="20" t="s">
        <v>304</v>
      </c>
    </row>
    <row r="4" spans="1:21">
      <c r="A4" s="12" t="s">
        <v>311</v>
      </c>
      <c r="B4" s="12" t="s">
        <v>312</v>
      </c>
      <c r="C4" s="12" t="s">
        <v>313</v>
      </c>
      <c r="D4" s="12" t="s">
        <v>314</v>
      </c>
      <c r="E4" s="23">
        <v>45909</v>
      </c>
      <c r="F4" s="24">
        <v>5452</v>
      </c>
      <c r="G4" s="12" t="s">
        <v>316</v>
      </c>
      <c r="H4" s="14" t="s">
        <v>317</v>
      </c>
      <c r="I4" s="24">
        <v>4620</v>
      </c>
      <c r="J4" s="24">
        <v>0</v>
      </c>
      <c r="K4" s="24">
        <v>415.8</v>
      </c>
      <c r="L4" s="24">
        <v>415.8</v>
      </c>
      <c r="M4" s="24">
        <v>0</v>
      </c>
      <c r="N4" s="22" t="s">
        <v>318</v>
      </c>
      <c r="O4" s="12" t="s">
        <v>319</v>
      </c>
      <c r="P4" s="14" t="s">
        <v>320</v>
      </c>
      <c r="Q4" s="12" t="s">
        <v>232</v>
      </c>
      <c r="R4" s="15" t="s">
        <v>321</v>
      </c>
      <c r="S4" s="22" t="s">
        <v>322</v>
      </c>
      <c r="T4" s="22" t="s">
        <v>323</v>
      </c>
      <c r="U4" s="22" t="s">
        <v>315</v>
      </c>
    </row>
    <row r="5" spans="1:21">
      <c r="A5" s="12" t="s">
        <v>324</v>
      </c>
      <c r="B5" s="12" t="s">
        <v>325</v>
      </c>
      <c r="C5" s="12" t="s">
        <v>326</v>
      </c>
      <c r="D5" s="12" t="s">
        <v>314</v>
      </c>
      <c r="E5" s="23">
        <v>45926</v>
      </c>
      <c r="F5" s="24">
        <v>28405</v>
      </c>
      <c r="G5" s="12" t="s">
        <v>316</v>
      </c>
      <c r="H5" s="14" t="s">
        <v>317</v>
      </c>
      <c r="I5" s="24">
        <v>24072</v>
      </c>
      <c r="J5" s="24">
        <v>4332.96</v>
      </c>
      <c r="K5" s="24">
        <v>0</v>
      </c>
      <c r="L5" s="24">
        <v>0</v>
      </c>
      <c r="M5" s="24">
        <v>0</v>
      </c>
      <c r="N5" s="22" t="s">
        <v>318</v>
      </c>
      <c r="O5" s="12" t="s">
        <v>328</v>
      </c>
      <c r="P5" s="14" t="s">
        <v>320</v>
      </c>
      <c r="Q5" s="12" t="s">
        <v>232</v>
      </c>
      <c r="R5" s="15" t="s">
        <v>321</v>
      </c>
      <c r="S5" s="22" t="s">
        <v>232</v>
      </c>
      <c r="T5" s="22" t="s">
        <v>232</v>
      </c>
      <c r="U5" s="22" t="s">
        <v>232</v>
      </c>
    </row>
    <row r="6" spans="1:21">
      <c r="A6" s="12" t="s">
        <v>329</v>
      </c>
      <c r="B6" s="12" t="s">
        <v>330</v>
      </c>
      <c r="C6" s="12" t="s">
        <v>331</v>
      </c>
      <c r="D6" s="12" t="s">
        <v>314</v>
      </c>
      <c r="E6" s="23">
        <v>45915</v>
      </c>
      <c r="F6" s="24">
        <v>36029</v>
      </c>
      <c r="G6" s="12" t="s">
        <v>316</v>
      </c>
      <c r="H6" s="14" t="s">
        <v>317</v>
      </c>
      <c r="I6" s="24">
        <v>30533.040000000001</v>
      </c>
      <c r="J6" s="24">
        <v>0</v>
      </c>
      <c r="K6" s="24">
        <v>2747.97</v>
      </c>
      <c r="L6" s="24">
        <v>2747.97</v>
      </c>
      <c r="M6" s="24">
        <v>0</v>
      </c>
      <c r="N6" s="22" t="s">
        <v>318</v>
      </c>
      <c r="O6" s="12" t="s">
        <v>319</v>
      </c>
      <c r="P6" s="14" t="s">
        <v>320</v>
      </c>
      <c r="Q6" s="12" t="s">
        <v>232</v>
      </c>
      <c r="R6" s="15" t="s">
        <v>321</v>
      </c>
      <c r="S6" s="22" t="s">
        <v>322</v>
      </c>
      <c r="T6" s="22" t="s">
        <v>333</v>
      </c>
      <c r="U6" s="22" t="s">
        <v>332</v>
      </c>
    </row>
    <row r="7" spans="1:21">
      <c r="A7" s="12" t="s">
        <v>329</v>
      </c>
      <c r="B7" s="12" t="s">
        <v>330</v>
      </c>
      <c r="C7" s="12" t="s">
        <v>334</v>
      </c>
      <c r="D7" s="12" t="s">
        <v>314</v>
      </c>
      <c r="E7" s="23">
        <v>45918</v>
      </c>
      <c r="F7" s="24">
        <v>39883</v>
      </c>
      <c r="G7" s="12" t="s">
        <v>316</v>
      </c>
      <c r="H7" s="14" t="s">
        <v>317</v>
      </c>
      <c r="I7" s="24">
        <v>33799.129999999997</v>
      </c>
      <c r="J7" s="24">
        <v>0</v>
      </c>
      <c r="K7" s="24">
        <v>3041.91</v>
      </c>
      <c r="L7" s="24">
        <v>3041.91</v>
      </c>
      <c r="M7" s="24">
        <v>0</v>
      </c>
      <c r="N7" s="22" t="s">
        <v>318</v>
      </c>
      <c r="O7" s="12" t="s">
        <v>319</v>
      </c>
      <c r="P7" s="14" t="s">
        <v>320</v>
      </c>
      <c r="Q7" s="12" t="s">
        <v>232</v>
      </c>
      <c r="R7" s="15" t="s">
        <v>321</v>
      </c>
      <c r="S7" s="22" t="s">
        <v>322</v>
      </c>
      <c r="T7" s="22" t="s">
        <v>336</v>
      </c>
      <c r="U7" s="22" t="s">
        <v>335</v>
      </c>
    </row>
    <row r="8" spans="1:21">
      <c r="A8" s="12" t="s">
        <v>329</v>
      </c>
      <c r="B8" s="12" t="s">
        <v>330</v>
      </c>
      <c r="C8" s="12" t="s">
        <v>337</v>
      </c>
      <c r="D8" s="12" t="s">
        <v>314</v>
      </c>
      <c r="E8" s="23">
        <v>45925</v>
      </c>
      <c r="F8" s="24">
        <v>36410</v>
      </c>
      <c r="G8" s="12" t="s">
        <v>316</v>
      </c>
      <c r="H8" s="14" t="s">
        <v>317</v>
      </c>
      <c r="I8" s="24">
        <v>30855.9</v>
      </c>
      <c r="J8" s="24">
        <v>0</v>
      </c>
      <c r="K8" s="24">
        <v>2777.03</v>
      </c>
      <c r="L8" s="24">
        <v>2777.03</v>
      </c>
      <c r="M8" s="24">
        <v>0</v>
      </c>
      <c r="N8" s="22" t="s">
        <v>318</v>
      </c>
      <c r="O8" s="12" t="s">
        <v>319</v>
      </c>
      <c r="P8" s="14" t="s">
        <v>320</v>
      </c>
      <c r="Q8" s="12" t="s">
        <v>232</v>
      </c>
      <c r="R8" s="15" t="s">
        <v>321</v>
      </c>
      <c r="S8" s="22" t="s">
        <v>322</v>
      </c>
      <c r="T8" s="22" t="s">
        <v>339</v>
      </c>
      <c r="U8" s="22" t="s">
        <v>338</v>
      </c>
    </row>
    <row r="9" spans="1:21">
      <c r="A9" s="12" t="s">
        <v>329</v>
      </c>
      <c r="B9" s="12" t="s">
        <v>330</v>
      </c>
      <c r="C9" s="12" t="s">
        <v>340</v>
      </c>
      <c r="D9" s="12" t="s">
        <v>314</v>
      </c>
      <c r="E9" s="23">
        <v>45925</v>
      </c>
      <c r="F9" s="24">
        <v>12250</v>
      </c>
      <c r="G9" s="12" t="s">
        <v>316</v>
      </c>
      <c r="H9" s="14" t="s">
        <v>317</v>
      </c>
      <c r="I9" s="24">
        <v>10381.299999999999</v>
      </c>
      <c r="J9" s="24">
        <v>0</v>
      </c>
      <c r="K9" s="24">
        <v>934.32</v>
      </c>
      <c r="L9" s="24">
        <v>934.32</v>
      </c>
      <c r="M9" s="24">
        <v>0</v>
      </c>
      <c r="N9" s="22" t="s">
        <v>318</v>
      </c>
      <c r="O9" s="12" t="s">
        <v>319</v>
      </c>
      <c r="P9" s="14" t="s">
        <v>320</v>
      </c>
      <c r="Q9" s="12" t="s">
        <v>232</v>
      </c>
      <c r="R9" s="15" t="s">
        <v>321</v>
      </c>
      <c r="S9" s="22" t="s">
        <v>322</v>
      </c>
      <c r="T9" s="22" t="s">
        <v>341</v>
      </c>
      <c r="U9" s="22" t="s">
        <v>338</v>
      </c>
    </row>
    <row r="10" spans="1:21">
      <c r="A10" s="12" t="s">
        <v>329</v>
      </c>
      <c r="B10" s="12" t="s">
        <v>330</v>
      </c>
      <c r="C10" s="12" t="s">
        <v>342</v>
      </c>
      <c r="D10" s="12" t="s">
        <v>314</v>
      </c>
      <c r="E10" s="23">
        <v>45925</v>
      </c>
      <c r="F10" s="24">
        <v>1654</v>
      </c>
      <c r="G10" s="12" t="s">
        <v>316</v>
      </c>
      <c r="H10" s="14" t="s">
        <v>317</v>
      </c>
      <c r="I10" s="24">
        <v>1401.64</v>
      </c>
      <c r="J10" s="24">
        <v>0</v>
      </c>
      <c r="K10" s="24">
        <v>126.15</v>
      </c>
      <c r="L10" s="24">
        <v>126.15</v>
      </c>
      <c r="M10" s="24">
        <v>0</v>
      </c>
      <c r="N10" s="22" t="s">
        <v>318</v>
      </c>
      <c r="O10" s="12" t="s">
        <v>319</v>
      </c>
      <c r="P10" s="14" t="s">
        <v>320</v>
      </c>
      <c r="Q10" s="12" t="s">
        <v>232</v>
      </c>
      <c r="R10" s="15" t="s">
        <v>321</v>
      </c>
      <c r="S10" s="22" t="s">
        <v>322</v>
      </c>
      <c r="T10" s="22" t="s">
        <v>343</v>
      </c>
      <c r="U10" s="22" t="s">
        <v>338</v>
      </c>
    </row>
    <row r="11" spans="1:21">
      <c r="A11" s="12" t="s">
        <v>329</v>
      </c>
      <c r="B11" s="12" t="s">
        <v>330</v>
      </c>
      <c r="C11" s="12" t="s">
        <v>344</v>
      </c>
      <c r="D11" s="12" t="s">
        <v>314</v>
      </c>
      <c r="E11" s="23">
        <v>45902</v>
      </c>
      <c r="F11" s="24">
        <v>3795</v>
      </c>
      <c r="G11" s="12" t="s">
        <v>316</v>
      </c>
      <c r="H11" s="14" t="s">
        <v>317</v>
      </c>
      <c r="I11" s="24">
        <v>3216.1</v>
      </c>
      <c r="J11" s="24">
        <v>0</v>
      </c>
      <c r="K11" s="24">
        <v>289.45</v>
      </c>
      <c r="L11" s="24">
        <v>289.45</v>
      </c>
      <c r="M11" s="24">
        <v>0</v>
      </c>
      <c r="N11" s="22" t="s">
        <v>318</v>
      </c>
      <c r="O11" s="12" t="s">
        <v>319</v>
      </c>
      <c r="P11" s="14" t="s">
        <v>320</v>
      </c>
      <c r="Q11" s="12" t="s">
        <v>232</v>
      </c>
      <c r="R11" s="15" t="s">
        <v>321</v>
      </c>
      <c r="S11" s="22" t="s">
        <v>322</v>
      </c>
      <c r="T11" s="22" t="s">
        <v>346</v>
      </c>
      <c r="U11" s="22" t="s">
        <v>345</v>
      </c>
    </row>
    <row r="12" spans="1:21">
      <c r="A12" s="12" t="s">
        <v>329</v>
      </c>
      <c r="B12" s="12" t="s">
        <v>330</v>
      </c>
      <c r="C12" s="12" t="s">
        <v>347</v>
      </c>
      <c r="D12" s="12" t="s">
        <v>314</v>
      </c>
      <c r="E12" s="23">
        <v>45918</v>
      </c>
      <c r="F12" s="24">
        <v>5770</v>
      </c>
      <c r="G12" s="12" t="s">
        <v>316</v>
      </c>
      <c r="H12" s="14" t="s">
        <v>317</v>
      </c>
      <c r="I12" s="24">
        <v>4889.8</v>
      </c>
      <c r="J12" s="24">
        <v>0</v>
      </c>
      <c r="K12" s="24">
        <v>440.08</v>
      </c>
      <c r="L12" s="24">
        <v>440.08</v>
      </c>
      <c r="M12" s="24">
        <v>0</v>
      </c>
      <c r="N12" s="22" t="s">
        <v>318</v>
      </c>
      <c r="O12" s="12" t="s">
        <v>319</v>
      </c>
      <c r="P12" s="14" t="s">
        <v>320</v>
      </c>
      <c r="Q12" s="12" t="s">
        <v>232</v>
      </c>
      <c r="R12" s="15" t="s">
        <v>321</v>
      </c>
      <c r="S12" s="22" t="s">
        <v>322</v>
      </c>
      <c r="T12" s="22" t="s">
        <v>348</v>
      </c>
      <c r="U12" s="22" t="s">
        <v>335</v>
      </c>
    </row>
    <row r="13" spans="1:21">
      <c r="A13" s="12" t="s">
        <v>329</v>
      </c>
      <c r="B13" s="12" t="s">
        <v>330</v>
      </c>
      <c r="C13" s="12" t="s">
        <v>349</v>
      </c>
      <c r="D13" s="12" t="s">
        <v>314</v>
      </c>
      <c r="E13" s="23">
        <v>45925</v>
      </c>
      <c r="F13" s="24">
        <v>132000</v>
      </c>
      <c r="G13" s="12" t="s">
        <v>316</v>
      </c>
      <c r="H13" s="14" t="s">
        <v>317</v>
      </c>
      <c r="I13" s="24">
        <v>111864.4</v>
      </c>
      <c r="J13" s="24">
        <v>0</v>
      </c>
      <c r="K13" s="24">
        <v>10067.799999999999</v>
      </c>
      <c r="L13" s="24">
        <v>10067.799999999999</v>
      </c>
      <c r="M13" s="24">
        <v>0</v>
      </c>
      <c r="N13" s="22" t="s">
        <v>318</v>
      </c>
      <c r="O13" s="12" t="s">
        <v>319</v>
      </c>
      <c r="P13" s="14" t="s">
        <v>320</v>
      </c>
      <c r="Q13" s="12" t="s">
        <v>232</v>
      </c>
      <c r="R13" s="15" t="s">
        <v>321</v>
      </c>
      <c r="S13" s="22" t="s">
        <v>322</v>
      </c>
      <c r="T13" s="22" t="s">
        <v>350</v>
      </c>
      <c r="U13" s="22" t="s">
        <v>338</v>
      </c>
    </row>
    <row r="14" spans="1:21">
      <c r="A14" s="12" t="s">
        <v>351</v>
      </c>
      <c r="B14" s="12" t="s">
        <v>352</v>
      </c>
      <c r="C14" s="12" t="s">
        <v>353</v>
      </c>
      <c r="D14" s="12" t="s">
        <v>314</v>
      </c>
      <c r="E14" s="23">
        <v>45910</v>
      </c>
      <c r="F14" s="24">
        <v>708</v>
      </c>
      <c r="G14" s="12" t="s">
        <v>316</v>
      </c>
      <c r="H14" s="14" t="s">
        <v>317</v>
      </c>
      <c r="I14" s="24">
        <v>600</v>
      </c>
      <c r="J14" s="24">
        <v>0</v>
      </c>
      <c r="K14" s="24">
        <v>54</v>
      </c>
      <c r="L14" s="24">
        <v>54</v>
      </c>
      <c r="M14" s="24">
        <v>0</v>
      </c>
      <c r="N14" s="22" t="s">
        <v>318</v>
      </c>
      <c r="O14" s="12" t="s">
        <v>319</v>
      </c>
      <c r="P14" s="14" t="s">
        <v>320</v>
      </c>
      <c r="Q14" s="12" t="s">
        <v>232</v>
      </c>
      <c r="R14" s="15" t="s">
        <v>321</v>
      </c>
      <c r="S14" s="22" t="s">
        <v>232</v>
      </c>
      <c r="T14" s="22" t="s">
        <v>232</v>
      </c>
      <c r="U14" s="22" t="s">
        <v>232</v>
      </c>
    </row>
    <row r="15" spans="1:21">
      <c r="A15" s="12" t="s">
        <v>351</v>
      </c>
      <c r="B15" s="12" t="s">
        <v>352</v>
      </c>
      <c r="C15" s="12" t="s">
        <v>355</v>
      </c>
      <c r="D15" s="12" t="s">
        <v>314</v>
      </c>
      <c r="E15" s="23">
        <v>45910</v>
      </c>
      <c r="F15" s="24">
        <v>59000</v>
      </c>
      <c r="G15" s="12" t="s">
        <v>316</v>
      </c>
      <c r="H15" s="14" t="s">
        <v>317</v>
      </c>
      <c r="I15" s="24">
        <v>50000</v>
      </c>
      <c r="J15" s="24">
        <v>0</v>
      </c>
      <c r="K15" s="24">
        <v>4500</v>
      </c>
      <c r="L15" s="24">
        <v>4500</v>
      </c>
      <c r="M15" s="24">
        <v>0</v>
      </c>
      <c r="N15" s="22" t="s">
        <v>318</v>
      </c>
      <c r="O15" s="12" t="s">
        <v>319</v>
      </c>
      <c r="P15" s="14" t="s">
        <v>320</v>
      </c>
      <c r="Q15" s="12" t="s">
        <v>232</v>
      </c>
      <c r="R15" s="15" t="s">
        <v>321</v>
      </c>
      <c r="S15" s="22" t="s">
        <v>232</v>
      </c>
      <c r="T15" s="22" t="s">
        <v>232</v>
      </c>
      <c r="U15" s="22" t="s">
        <v>232</v>
      </c>
    </row>
    <row r="16" spans="1:21">
      <c r="A16" s="12" t="s">
        <v>351</v>
      </c>
      <c r="B16" s="12" t="s">
        <v>352</v>
      </c>
      <c r="C16" s="12" t="s">
        <v>356</v>
      </c>
      <c r="D16" s="12" t="s">
        <v>314</v>
      </c>
      <c r="E16" s="23">
        <v>45910</v>
      </c>
      <c r="F16" s="24">
        <v>109971</v>
      </c>
      <c r="G16" s="12" t="s">
        <v>316</v>
      </c>
      <c r="H16" s="14" t="s">
        <v>317</v>
      </c>
      <c r="I16" s="24">
        <v>93195.76</v>
      </c>
      <c r="J16" s="24">
        <v>0</v>
      </c>
      <c r="K16" s="24">
        <v>8387.6200000000008</v>
      </c>
      <c r="L16" s="24">
        <v>8387.6200000000008</v>
      </c>
      <c r="M16" s="24">
        <v>0</v>
      </c>
      <c r="N16" s="22" t="s">
        <v>318</v>
      </c>
      <c r="O16" s="12" t="s">
        <v>319</v>
      </c>
      <c r="P16" s="14" t="s">
        <v>320</v>
      </c>
      <c r="Q16" s="12" t="s">
        <v>232</v>
      </c>
      <c r="R16" s="15" t="s">
        <v>321</v>
      </c>
      <c r="S16" s="22" t="s">
        <v>232</v>
      </c>
      <c r="T16" s="22" t="s">
        <v>232</v>
      </c>
      <c r="U16" s="22" t="s">
        <v>232</v>
      </c>
    </row>
    <row r="17" spans="1:21">
      <c r="A17" s="12" t="s">
        <v>351</v>
      </c>
      <c r="B17" s="12" t="s">
        <v>352</v>
      </c>
      <c r="C17" s="12" t="s">
        <v>357</v>
      </c>
      <c r="D17" s="12" t="s">
        <v>314</v>
      </c>
      <c r="E17" s="23">
        <v>45909</v>
      </c>
      <c r="F17" s="24">
        <v>73750</v>
      </c>
      <c r="G17" s="12" t="s">
        <v>316</v>
      </c>
      <c r="H17" s="14" t="s">
        <v>317</v>
      </c>
      <c r="I17" s="24">
        <v>62500</v>
      </c>
      <c r="J17" s="24">
        <v>0</v>
      </c>
      <c r="K17" s="24">
        <v>5625</v>
      </c>
      <c r="L17" s="24">
        <v>5625</v>
      </c>
      <c r="M17" s="24">
        <v>0</v>
      </c>
      <c r="N17" s="22" t="s">
        <v>318</v>
      </c>
      <c r="O17" s="12" t="s">
        <v>319</v>
      </c>
      <c r="P17" s="14" t="s">
        <v>320</v>
      </c>
      <c r="Q17" s="12" t="s">
        <v>232</v>
      </c>
      <c r="R17" s="15" t="s">
        <v>321</v>
      </c>
      <c r="S17" s="22" t="s">
        <v>232</v>
      </c>
      <c r="T17" s="22" t="s">
        <v>232</v>
      </c>
      <c r="U17" s="22" t="s">
        <v>232</v>
      </c>
    </row>
    <row r="18" spans="1:21">
      <c r="A18" s="12" t="s">
        <v>358</v>
      </c>
      <c r="B18" s="12" t="s">
        <v>359</v>
      </c>
      <c r="C18" s="12" t="s">
        <v>360</v>
      </c>
      <c r="D18" s="12" t="s">
        <v>314</v>
      </c>
      <c r="E18" s="23">
        <v>45916</v>
      </c>
      <c r="F18" s="24">
        <v>109757</v>
      </c>
      <c r="G18" s="12" t="s">
        <v>316</v>
      </c>
      <c r="H18" s="14" t="s">
        <v>317</v>
      </c>
      <c r="I18" s="24">
        <v>93014</v>
      </c>
      <c r="J18" s="24">
        <v>16743</v>
      </c>
      <c r="K18" s="24">
        <v>0</v>
      </c>
      <c r="L18" s="24">
        <v>0</v>
      </c>
      <c r="M18" s="24">
        <v>0</v>
      </c>
      <c r="N18" s="22" t="s">
        <v>318</v>
      </c>
      <c r="O18" s="12" t="s">
        <v>362</v>
      </c>
      <c r="P18" s="14" t="s">
        <v>320</v>
      </c>
      <c r="Q18" s="12" t="s">
        <v>232</v>
      </c>
      <c r="R18" s="15" t="s">
        <v>321</v>
      </c>
      <c r="S18" s="22" t="s">
        <v>322</v>
      </c>
      <c r="T18" s="22" t="s">
        <v>363</v>
      </c>
      <c r="U18" s="22" t="s">
        <v>361</v>
      </c>
    </row>
    <row r="19" spans="1:21">
      <c r="A19" s="12" t="s">
        <v>358</v>
      </c>
      <c r="B19" s="12" t="s">
        <v>359</v>
      </c>
      <c r="C19" s="12" t="s">
        <v>364</v>
      </c>
      <c r="D19" s="12" t="s">
        <v>314</v>
      </c>
      <c r="E19" s="23">
        <v>45921</v>
      </c>
      <c r="F19" s="24">
        <v>432748</v>
      </c>
      <c r="G19" s="12" t="s">
        <v>316</v>
      </c>
      <c r="H19" s="14" t="s">
        <v>317</v>
      </c>
      <c r="I19" s="24">
        <v>366736</v>
      </c>
      <c r="J19" s="24">
        <v>66012</v>
      </c>
      <c r="K19" s="24">
        <v>0</v>
      </c>
      <c r="L19" s="24">
        <v>0</v>
      </c>
      <c r="M19" s="24">
        <v>0</v>
      </c>
      <c r="N19" s="22" t="s">
        <v>318</v>
      </c>
      <c r="O19" s="12" t="s">
        <v>362</v>
      </c>
      <c r="P19" s="14" t="s">
        <v>320</v>
      </c>
      <c r="Q19" s="12" t="s">
        <v>232</v>
      </c>
      <c r="R19" s="15" t="s">
        <v>321</v>
      </c>
      <c r="S19" s="22" t="s">
        <v>322</v>
      </c>
      <c r="T19" s="22" t="s">
        <v>366</v>
      </c>
      <c r="U19" s="22" t="s">
        <v>365</v>
      </c>
    </row>
    <row r="20" spans="1:21">
      <c r="A20" s="12" t="s">
        <v>367</v>
      </c>
      <c r="B20" s="12" t="s">
        <v>368</v>
      </c>
      <c r="C20" s="12" t="s">
        <v>369</v>
      </c>
      <c r="D20" s="12" t="s">
        <v>314</v>
      </c>
      <c r="E20" s="23">
        <v>45903</v>
      </c>
      <c r="F20" s="24">
        <v>2750</v>
      </c>
      <c r="G20" s="12" t="s">
        <v>316</v>
      </c>
      <c r="H20" s="14" t="s">
        <v>317</v>
      </c>
      <c r="I20" s="24">
        <v>2330.5</v>
      </c>
      <c r="J20" s="24">
        <v>0</v>
      </c>
      <c r="K20" s="24">
        <v>209.75</v>
      </c>
      <c r="L20" s="24">
        <v>209.75</v>
      </c>
      <c r="M20" s="24">
        <v>0</v>
      </c>
      <c r="N20" s="22" t="s">
        <v>318</v>
      </c>
      <c r="O20" s="12" t="s">
        <v>319</v>
      </c>
      <c r="P20" s="14" t="s">
        <v>320</v>
      </c>
      <c r="Q20" s="12" t="s">
        <v>232</v>
      </c>
      <c r="R20" s="15" t="s">
        <v>321</v>
      </c>
      <c r="S20" s="22" t="s">
        <v>322</v>
      </c>
      <c r="T20" s="22" t="s">
        <v>371</v>
      </c>
      <c r="U20" s="22" t="s">
        <v>370</v>
      </c>
    </row>
    <row r="21" spans="1:21">
      <c r="A21" s="12" t="s">
        <v>367</v>
      </c>
      <c r="B21" s="12" t="s">
        <v>368</v>
      </c>
      <c r="C21" s="12" t="s">
        <v>372</v>
      </c>
      <c r="D21" s="12" t="s">
        <v>314</v>
      </c>
      <c r="E21" s="23">
        <v>45916</v>
      </c>
      <c r="F21" s="24">
        <v>7875</v>
      </c>
      <c r="G21" s="12" t="s">
        <v>316</v>
      </c>
      <c r="H21" s="14" t="s">
        <v>317</v>
      </c>
      <c r="I21" s="24">
        <v>6673.73</v>
      </c>
      <c r="J21" s="24">
        <v>0</v>
      </c>
      <c r="K21" s="24">
        <v>600.64</v>
      </c>
      <c r="L21" s="24">
        <v>600.64</v>
      </c>
      <c r="M21" s="24">
        <v>0</v>
      </c>
      <c r="N21" s="22" t="s">
        <v>318</v>
      </c>
      <c r="O21" s="12" t="s">
        <v>319</v>
      </c>
      <c r="P21" s="14" t="s">
        <v>320</v>
      </c>
      <c r="Q21" s="12" t="s">
        <v>232</v>
      </c>
      <c r="R21" s="15" t="s">
        <v>321</v>
      </c>
      <c r="S21" s="22" t="s">
        <v>322</v>
      </c>
      <c r="T21" s="22" t="s">
        <v>373</v>
      </c>
      <c r="U21" s="22" t="s">
        <v>361</v>
      </c>
    </row>
    <row r="22" spans="1:21">
      <c r="A22" s="12" t="s">
        <v>367</v>
      </c>
      <c r="B22" s="12" t="s">
        <v>368</v>
      </c>
      <c r="C22" s="12" t="s">
        <v>374</v>
      </c>
      <c r="D22" s="12" t="s">
        <v>314</v>
      </c>
      <c r="E22" s="23">
        <v>45924</v>
      </c>
      <c r="F22" s="24">
        <v>4950</v>
      </c>
      <c r="G22" s="12" t="s">
        <v>316</v>
      </c>
      <c r="H22" s="14" t="s">
        <v>317</v>
      </c>
      <c r="I22" s="24">
        <v>4194.8999999999996</v>
      </c>
      <c r="J22" s="24">
        <v>0</v>
      </c>
      <c r="K22" s="24">
        <v>377.54</v>
      </c>
      <c r="L22" s="24">
        <v>377.54</v>
      </c>
      <c r="M22" s="24">
        <v>0</v>
      </c>
      <c r="N22" s="22" t="s">
        <v>318</v>
      </c>
      <c r="O22" s="12" t="s">
        <v>319</v>
      </c>
      <c r="P22" s="14" t="s">
        <v>320</v>
      </c>
      <c r="Q22" s="12" t="s">
        <v>232</v>
      </c>
      <c r="R22" s="15" t="s">
        <v>321</v>
      </c>
      <c r="S22" s="22" t="s">
        <v>322</v>
      </c>
      <c r="T22" s="22" t="s">
        <v>376</v>
      </c>
      <c r="U22" s="22" t="s">
        <v>375</v>
      </c>
    </row>
    <row r="23" spans="1:21">
      <c r="A23" s="12" t="s">
        <v>377</v>
      </c>
      <c r="B23" s="12" t="s">
        <v>378</v>
      </c>
      <c r="C23" s="12" t="s">
        <v>379</v>
      </c>
      <c r="D23" s="12" t="s">
        <v>314</v>
      </c>
      <c r="E23" s="23">
        <v>45919</v>
      </c>
      <c r="F23" s="24">
        <v>274576</v>
      </c>
      <c r="G23" s="12" t="s">
        <v>316</v>
      </c>
      <c r="H23" s="14" t="s">
        <v>317</v>
      </c>
      <c r="I23" s="24">
        <v>232691.71</v>
      </c>
      <c r="J23" s="24">
        <v>41884.51</v>
      </c>
      <c r="K23" s="24">
        <v>0</v>
      </c>
      <c r="L23" s="24">
        <v>0</v>
      </c>
      <c r="M23" s="24">
        <v>0</v>
      </c>
      <c r="N23" s="22" t="s">
        <v>318</v>
      </c>
      <c r="O23" s="12" t="s">
        <v>328</v>
      </c>
      <c r="P23" s="14" t="s">
        <v>320</v>
      </c>
      <c r="Q23" s="12" t="s">
        <v>232</v>
      </c>
      <c r="R23" s="15" t="s">
        <v>321</v>
      </c>
      <c r="S23" s="22" t="s">
        <v>232</v>
      </c>
      <c r="T23" s="22" t="s">
        <v>232</v>
      </c>
      <c r="U23" s="22" t="s">
        <v>232</v>
      </c>
    </row>
    <row r="24" spans="1:21">
      <c r="A24" s="12" t="s">
        <v>381</v>
      </c>
      <c r="B24" s="12" t="s">
        <v>382</v>
      </c>
      <c r="C24" s="12" t="s">
        <v>383</v>
      </c>
      <c r="D24" s="12" t="s">
        <v>314</v>
      </c>
      <c r="E24" s="23">
        <v>45908</v>
      </c>
      <c r="F24" s="24">
        <v>285100.02</v>
      </c>
      <c r="G24" s="12" t="s">
        <v>316</v>
      </c>
      <c r="H24" s="14" t="s">
        <v>317</v>
      </c>
      <c r="I24" s="24">
        <v>241610.18</v>
      </c>
      <c r="J24" s="24">
        <v>43489.84</v>
      </c>
      <c r="K24" s="24">
        <v>0</v>
      </c>
      <c r="L24" s="24">
        <v>0</v>
      </c>
      <c r="M24" s="24">
        <v>0</v>
      </c>
      <c r="N24" s="22" t="s">
        <v>318</v>
      </c>
      <c r="O24" s="12" t="s">
        <v>384</v>
      </c>
      <c r="P24" s="14" t="s">
        <v>320</v>
      </c>
      <c r="Q24" s="12" t="s">
        <v>232</v>
      </c>
      <c r="R24" s="15" t="s">
        <v>321</v>
      </c>
      <c r="S24" s="22" t="s">
        <v>232</v>
      </c>
      <c r="T24" s="22" t="s">
        <v>232</v>
      </c>
      <c r="U24" s="22" t="s">
        <v>232</v>
      </c>
    </row>
    <row r="25" spans="1:21">
      <c r="A25" s="12" t="s">
        <v>381</v>
      </c>
      <c r="B25" s="12" t="s">
        <v>382</v>
      </c>
      <c r="C25" s="12" t="s">
        <v>385</v>
      </c>
      <c r="D25" s="12" t="s">
        <v>314</v>
      </c>
      <c r="E25" s="23">
        <v>45908</v>
      </c>
      <c r="F25" s="24">
        <v>52226.49</v>
      </c>
      <c r="G25" s="12" t="s">
        <v>316</v>
      </c>
      <c r="H25" s="14" t="s">
        <v>317</v>
      </c>
      <c r="I25" s="24">
        <v>44259.73</v>
      </c>
      <c r="J25" s="24">
        <v>7966.76</v>
      </c>
      <c r="K25" s="24">
        <v>0</v>
      </c>
      <c r="L25" s="24">
        <v>0</v>
      </c>
      <c r="M25" s="24">
        <v>0</v>
      </c>
      <c r="N25" s="22" t="s">
        <v>318</v>
      </c>
      <c r="O25" s="12" t="s">
        <v>384</v>
      </c>
      <c r="P25" s="14" t="s">
        <v>320</v>
      </c>
      <c r="Q25" s="12" t="s">
        <v>232</v>
      </c>
      <c r="R25" s="15" t="s">
        <v>321</v>
      </c>
      <c r="S25" s="22" t="s">
        <v>232</v>
      </c>
      <c r="T25" s="22" t="s">
        <v>232</v>
      </c>
      <c r="U25" s="22" t="s">
        <v>232</v>
      </c>
    </row>
    <row r="26" spans="1:21">
      <c r="A26" s="12" t="s">
        <v>381</v>
      </c>
      <c r="B26" s="12" t="s">
        <v>382</v>
      </c>
      <c r="C26" s="12" t="s">
        <v>386</v>
      </c>
      <c r="D26" s="12" t="s">
        <v>314</v>
      </c>
      <c r="E26" s="23">
        <v>45919</v>
      </c>
      <c r="F26" s="24">
        <v>515180.74</v>
      </c>
      <c r="G26" s="12" t="s">
        <v>316</v>
      </c>
      <c r="H26" s="14" t="s">
        <v>317</v>
      </c>
      <c r="I26" s="24">
        <v>436593.85</v>
      </c>
      <c r="J26" s="24">
        <v>78586.89</v>
      </c>
      <c r="K26" s="24">
        <v>0</v>
      </c>
      <c r="L26" s="24">
        <v>0</v>
      </c>
      <c r="M26" s="24">
        <v>0</v>
      </c>
      <c r="N26" s="22" t="s">
        <v>318</v>
      </c>
      <c r="O26" s="12" t="s">
        <v>384</v>
      </c>
      <c r="P26" s="14" t="s">
        <v>320</v>
      </c>
      <c r="Q26" s="12" t="s">
        <v>232</v>
      </c>
      <c r="R26" s="15" t="s">
        <v>321</v>
      </c>
      <c r="S26" s="22" t="s">
        <v>232</v>
      </c>
      <c r="T26" s="22" t="s">
        <v>232</v>
      </c>
      <c r="U26" s="22" t="s">
        <v>232</v>
      </c>
    </row>
    <row r="27" spans="1:21">
      <c r="A27" s="12" t="s">
        <v>381</v>
      </c>
      <c r="B27" s="12" t="s">
        <v>382</v>
      </c>
      <c r="C27" s="12" t="s">
        <v>387</v>
      </c>
      <c r="D27" s="12" t="s">
        <v>314</v>
      </c>
      <c r="E27" s="23">
        <v>45919</v>
      </c>
      <c r="F27" s="24">
        <v>4839.5600000000004</v>
      </c>
      <c r="G27" s="12" t="s">
        <v>316</v>
      </c>
      <c r="H27" s="14" t="s">
        <v>317</v>
      </c>
      <c r="I27" s="24">
        <v>4101.33</v>
      </c>
      <c r="J27" s="24">
        <v>738.23</v>
      </c>
      <c r="K27" s="24">
        <v>0</v>
      </c>
      <c r="L27" s="24">
        <v>0</v>
      </c>
      <c r="M27" s="24">
        <v>0</v>
      </c>
      <c r="N27" s="22" t="s">
        <v>318</v>
      </c>
      <c r="O27" s="12" t="s">
        <v>384</v>
      </c>
      <c r="P27" s="14" t="s">
        <v>320</v>
      </c>
      <c r="Q27" s="12" t="s">
        <v>232</v>
      </c>
      <c r="R27" s="15" t="s">
        <v>321</v>
      </c>
      <c r="S27" s="22" t="s">
        <v>232</v>
      </c>
      <c r="T27" s="22" t="s">
        <v>232</v>
      </c>
      <c r="U27" s="22" t="s">
        <v>232</v>
      </c>
    </row>
    <row r="28" spans="1:21">
      <c r="A28" s="12" t="s">
        <v>381</v>
      </c>
      <c r="B28" s="12" t="s">
        <v>382</v>
      </c>
      <c r="C28" s="12" t="s">
        <v>388</v>
      </c>
      <c r="D28" s="12" t="s">
        <v>314</v>
      </c>
      <c r="E28" s="23">
        <v>45929</v>
      </c>
      <c r="F28" s="24">
        <v>50909.63</v>
      </c>
      <c r="G28" s="12" t="s">
        <v>316</v>
      </c>
      <c r="H28" s="14" t="s">
        <v>317</v>
      </c>
      <c r="I28" s="24">
        <v>43143.73</v>
      </c>
      <c r="J28" s="24">
        <v>7765.9</v>
      </c>
      <c r="K28" s="24">
        <v>0</v>
      </c>
      <c r="L28" s="24">
        <v>0</v>
      </c>
      <c r="M28" s="24">
        <v>0</v>
      </c>
      <c r="N28" s="22" t="s">
        <v>318</v>
      </c>
      <c r="O28" s="12" t="s">
        <v>384</v>
      </c>
      <c r="P28" s="14" t="s">
        <v>320</v>
      </c>
      <c r="Q28" s="12" t="s">
        <v>232</v>
      </c>
      <c r="R28" s="15" t="s">
        <v>321</v>
      </c>
      <c r="S28" s="22" t="s">
        <v>232</v>
      </c>
      <c r="T28" s="22" t="s">
        <v>232</v>
      </c>
      <c r="U28" s="22" t="s">
        <v>232</v>
      </c>
    </row>
    <row r="29" spans="1:21">
      <c r="A29" s="12" t="s">
        <v>381</v>
      </c>
      <c r="B29" s="12" t="s">
        <v>382</v>
      </c>
      <c r="C29" s="12" t="s">
        <v>390</v>
      </c>
      <c r="D29" s="12" t="s">
        <v>314</v>
      </c>
      <c r="E29" s="23">
        <v>45929</v>
      </c>
      <c r="F29" s="24">
        <v>45432.05</v>
      </c>
      <c r="G29" s="12" t="s">
        <v>316</v>
      </c>
      <c r="H29" s="14" t="s">
        <v>317</v>
      </c>
      <c r="I29" s="24">
        <v>38501.730000000003</v>
      </c>
      <c r="J29" s="24">
        <v>6930.32</v>
      </c>
      <c r="K29" s="24">
        <v>0</v>
      </c>
      <c r="L29" s="24">
        <v>0</v>
      </c>
      <c r="M29" s="24">
        <v>0</v>
      </c>
      <c r="N29" s="22" t="s">
        <v>318</v>
      </c>
      <c r="O29" s="12" t="s">
        <v>384</v>
      </c>
      <c r="P29" s="14" t="s">
        <v>320</v>
      </c>
      <c r="Q29" s="12" t="s">
        <v>232</v>
      </c>
      <c r="R29" s="15" t="s">
        <v>321</v>
      </c>
      <c r="S29" s="22" t="s">
        <v>232</v>
      </c>
      <c r="T29" s="22" t="s">
        <v>232</v>
      </c>
      <c r="U29" s="22" t="s">
        <v>232</v>
      </c>
    </row>
    <row r="30" spans="1:21">
      <c r="A30" s="12" t="s">
        <v>381</v>
      </c>
      <c r="B30" s="12" t="s">
        <v>382</v>
      </c>
      <c r="C30" s="12" t="s">
        <v>391</v>
      </c>
      <c r="D30" s="12" t="s">
        <v>314</v>
      </c>
      <c r="E30" s="23">
        <v>45929</v>
      </c>
      <c r="F30" s="24">
        <v>394981.02</v>
      </c>
      <c r="G30" s="12" t="s">
        <v>316</v>
      </c>
      <c r="H30" s="14" t="s">
        <v>317</v>
      </c>
      <c r="I30" s="24">
        <v>334729.68</v>
      </c>
      <c r="J30" s="24">
        <v>60251.34</v>
      </c>
      <c r="K30" s="24">
        <v>0</v>
      </c>
      <c r="L30" s="24">
        <v>0</v>
      </c>
      <c r="M30" s="24">
        <v>0</v>
      </c>
      <c r="N30" s="22" t="s">
        <v>318</v>
      </c>
      <c r="O30" s="12" t="s">
        <v>384</v>
      </c>
      <c r="P30" s="14" t="s">
        <v>320</v>
      </c>
      <c r="Q30" s="12" t="s">
        <v>232</v>
      </c>
      <c r="R30" s="15" t="s">
        <v>321</v>
      </c>
      <c r="S30" s="22" t="s">
        <v>232</v>
      </c>
      <c r="T30" s="22" t="s">
        <v>232</v>
      </c>
      <c r="U30" s="22" t="s">
        <v>232</v>
      </c>
    </row>
    <row r="31" spans="1:21">
      <c r="A31" s="12" t="s">
        <v>392</v>
      </c>
      <c r="B31" s="12" t="s">
        <v>393</v>
      </c>
      <c r="C31" s="12" t="s">
        <v>394</v>
      </c>
      <c r="D31" s="12" t="s">
        <v>314</v>
      </c>
      <c r="E31" s="23">
        <v>45909</v>
      </c>
      <c r="F31" s="24">
        <v>13325</v>
      </c>
      <c r="G31" s="12" t="s">
        <v>316</v>
      </c>
      <c r="H31" s="14" t="s">
        <v>317</v>
      </c>
      <c r="I31" s="24">
        <v>11292.54</v>
      </c>
      <c r="J31" s="24">
        <v>0</v>
      </c>
      <c r="K31" s="24">
        <v>1016.33</v>
      </c>
      <c r="L31" s="24">
        <v>1016.33</v>
      </c>
      <c r="M31" s="24">
        <v>0</v>
      </c>
      <c r="N31" s="22" t="s">
        <v>318</v>
      </c>
      <c r="O31" s="12" t="s">
        <v>395</v>
      </c>
      <c r="P31" s="14" t="s">
        <v>320</v>
      </c>
      <c r="Q31" s="12" t="s">
        <v>232</v>
      </c>
      <c r="R31" s="15" t="s">
        <v>321</v>
      </c>
      <c r="S31" s="22" t="s">
        <v>232</v>
      </c>
      <c r="T31" s="22" t="s">
        <v>232</v>
      </c>
      <c r="U31" s="22" t="s">
        <v>232</v>
      </c>
    </row>
    <row r="32" spans="1:21">
      <c r="A32" s="12" t="s">
        <v>392</v>
      </c>
      <c r="B32" s="12" t="s">
        <v>393</v>
      </c>
      <c r="C32" s="12" t="s">
        <v>396</v>
      </c>
      <c r="D32" s="12" t="s">
        <v>314</v>
      </c>
      <c r="E32" s="23">
        <v>45910</v>
      </c>
      <c r="F32" s="24">
        <v>2701</v>
      </c>
      <c r="G32" s="12" t="s">
        <v>316</v>
      </c>
      <c r="H32" s="14" t="s">
        <v>317</v>
      </c>
      <c r="I32" s="24">
        <v>2288.9899999999998</v>
      </c>
      <c r="J32" s="24">
        <v>0</v>
      </c>
      <c r="K32" s="24">
        <v>206.01</v>
      </c>
      <c r="L32" s="24">
        <v>206.01</v>
      </c>
      <c r="M32" s="24">
        <v>0</v>
      </c>
      <c r="N32" s="22" t="s">
        <v>318</v>
      </c>
      <c r="O32" s="12" t="s">
        <v>395</v>
      </c>
      <c r="P32" s="14" t="s">
        <v>320</v>
      </c>
      <c r="Q32" s="12" t="s">
        <v>232</v>
      </c>
      <c r="R32" s="15" t="s">
        <v>321</v>
      </c>
      <c r="S32" s="22" t="s">
        <v>232</v>
      </c>
      <c r="T32" s="22" t="s">
        <v>232</v>
      </c>
      <c r="U32" s="22" t="s">
        <v>232</v>
      </c>
    </row>
    <row r="33" spans="1:21">
      <c r="A33" s="12" t="s">
        <v>392</v>
      </c>
      <c r="B33" s="12" t="s">
        <v>393</v>
      </c>
      <c r="C33" s="12" t="s">
        <v>397</v>
      </c>
      <c r="D33" s="12" t="s">
        <v>314</v>
      </c>
      <c r="E33" s="23">
        <v>45911</v>
      </c>
      <c r="F33" s="24">
        <v>5370</v>
      </c>
      <c r="G33" s="12" t="s">
        <v>316</v>
      </c>
      <c r="H33" s="14" t="s">
        <v>317</v>
      </c>
      <c r="I33" s="24">
        <v>4550.8500000000004</v>
      </c>
      <c r="J33" s="24">
        <v>0</v>
      </c>
      <c r="K33" s="24">
        <v>409.57</v>
      </c>
      <c r="L33" s="24">
        <v>409.57</v>
      </c>
      <c r="M33" s="24">
        <v>0</v>
      </c>
      <c r="N33" s="22" t="s">
        <v>318</v>
      </c>
      <c r="O33" s="12" t="s">
        <v>395</v>
      </c>
      <c r="P33" s="14" t="s">
        <v>320</v>
      </c>
      <c r="Q33" s="12" t="s">
        <v>232</v>
      </c>
      <c r="R33" s="15" t="s">
        <v>321</v>
      </c>
      <c r="S33" s="22" t="s">
        <v>232</v>
      </c>
      <c r="T33" s="22" t="s">
        <v>232</v>
      </c>
      <c r="U33" s="22" t="s">
        <v>232</v>
      </c>
    </row>
    <row r="34" spans="1:21">
      <c r="A34" s="12" t="s">
        <v>398</v>
      </c>
      <c r="B34" s="12" t="s">
        <v>399</v>
      </c>
      <c r="C34" s="12" t="s">
        <v>400</v>
      </c>
      <c r="D34" s="12" t="s">
        <v>314</v>
      </c>
      <c r="E34" s="23">
        <v>45913</v>
      </c>
      <c r="F34" s="24">
        <v>2360</v>
      </c>
      <c r="G34" s="12" t="s">
        <v>316</v>
      </c>
      <c r="H34" s="14" t="s">
        <v>317</v>
      </c>
      <c r="I34" s="24">
        <v>2000</v>
      </c>
      <c r="J34" s="24">
        <v>0</v>
      </c>
      <c r="K34" s="24">
        <v>180</v>
      </c>
      <c r="L34" s="24">
        <v>180</v>
      </c>
      <c r="M34" s="24">
        <v>0</v>
      </c>
      <c r="N34" s="22" t="s">
        <v>318</v>
      </c>
      <c r="O34" s="12" t="s">
        <v>384</v>
      </c>
      <c r="P34" s="14" t="s">
        <v>320</v>
      </c>
      <c r="Q34" s="12" t="s">
        <v>232</v>
      </c>
      <c r="R34" s="15" t="s">
        <v>321</v>
      </c>
      <c r="S34" s="22" t="s">
        <v>232</v>
      </c>
      <c r="T34" s="22" t="s">
        <v>232</v>
      </c>
      <c r="U34" s="22" t="s">
        <v>232</v>
      </c>
    </row>
    <row r="35" spans="1:21">
      <c r="A35" s="12" t="s">
        <v>402</v>
      </c>
      <c r="B35" s="12" t="s">
        <v>403</v>
      </c>
      <c r="C35" s="12" t="s">
        <v>404</v>
      </c>
      <c r="D35" s="12" t="s">
        <v>314</v>
      </c>
      <c r="E35" s="23">
        <v>45925</v>
      </c>
      <c r="F35" s="24">
        <v>1500</v>
      </c>
      <c r="G35" s="12" t="s">
        <v>316</v>
      </c>
      <c r="H35" s="14" t="s">
        <v>317</v>
      </c>
      <c r="I35" s="24">
        <v>1271.19</v>
      </c>
      <c r="J35" s="24">
        <v>0</v>
      </c>
      <c r="K35" s="24">
        <v>114.41</v>
      </c>
      <c r="L35" s="24">
        <v>114.41</v>
      </c>
      <c r="M35" s="24">
        <v>0</v>
      </c>
      <c r="N35" s="22" t="s">
        <v>318</v>
      </c>
      <c r="O35" s="12" t="s">
        <v>384</v>
      </c>
      <c r="P35" s="14" t="s">
        <v>320</v>
      </c>
      <c r="Q35" s="12" t="s">
        <v>232</v>
      </c>
      <c r="R35" s="15" t="s">
        <v>321</v>
      </c>
      <c r="S35" s="22" t="s">
        <v>232</v>
      </c>
      <c r="T35" s="22" t="s">
        <v>232</v>
      </c>
      <c r="U35" s="22" t="s">
        <v>232</v>
      </c>
    </row>
    <row r="36" spans="1:21">
      <c r="A36" s="12" t="s">
        <v>405</v>
      </c>
      <c r="B36" s="12" t="s">
        <v>406</v>
      </c>
      <c r="C36" s="12" t="s">
        <v>407</v>
      </c>
      <c r="D36" s="12" t="s">
        <v>314</v>
      </c>
      <c r="E36" s="23">
        <v>45925</v>
      </c>
      <c r="F36" s="24">
        <v>418080</v>
      </c>
      <c r="G36" s="12" t="s">
        <v>316</v>
      </c>
      <c r="H36" s="14" t="s">
        <v>317</v>
      </c>
      <c r="I36" s="24">
        <v>354305</v>
      </c>
      <c r="J36" s="24">
        <v>63774.9</v>
      </c>
      <c r="K36" s="24">
        <v>0</v>
      </c>
      <c r="L36" s="24">
        <v>0</v>
      </c>
      <c r="M36" s="24">
        <v>0</v>
      </c>
      <c r="N36" s="22" t="s">
        <v>318</v>
      </c>
      <c r="O36" s="12" t="s">
        <v>362</v>
      </c>
      <c r="P36" s="14" t="s">
        <v>320</v>
      </c>
      <c r="Q36" s="12" t="s">
        <v>232</v>
      </c>
      <c r="R36" s="15" t="s">
        <v>321</v>
      </c>
      <c r="S36" s="22" t="s">
        <v>232</v>
      </c>
      <c r="T36" s="22" t="s">
        <v>232</v>
      </c>
      <c r="U36" s="22" t="s">
        <v>232</v>
      </c>
    </row>
    <row r="37" spans="1:21">
      <c r="A37" s="12" t="s">
        <v>408</v>
      </c>
      <c r="B37" s="12" t="s">
        <v>409</v>
      </c>
      <c r="C37" s="12" t="s">
        <v>410</v>
      </c>
      <c r="D37" s="12" t="s">
        <v>314</v>
      </c>
      <c r="E37" s="23">
        <v>45881</v>
      </c>
      <c r="F37" s="24">
        <v>111664</v>
      </c>
      <c r="G37" s="12" t="s">
        <v>316</v>
      </c>
      <c r="H37" s="14" t="s">
        <v>320</v>
      </c>
      <c r="I37" s="24">
        <v>111664</v>
      </c>
      <c r="J37" s="24">
        <v>5583.2</v>
      </c>
      <c r="K37" s="24">
        <v>0</v>
      </c>
      <c r="L37" s="24">
        <v>0</v>
      </c>
      <c r="M37" s="24">
        <v>0</v>
      </c>
      <c r="N37" s="22" t="s">
        <v>411</v>
      </c>
      <c r="O37" s="12" t="s">
        <v>401</v>
      </c>
      <c r="P37" s="14" t="s">
        <v>320</v>
      </c>
      <c r="Q37" s="12" t="s">
        <v>232</v>
      </c>
      <c r="R37" s="15" t="s">
        <v>321</v>
      </c>
      <c r="S37" s="22" t="s">
        <v>232</v>
      </c>
      <c r="T37" s="22" t="s">
        <v>232</v>
      </c>
      <c r="U37" s="22" t="s">
        <v>232</v>
      </c>
    </row>
    <row r="38" spans="1:21">
      <c r="A38" s="12" t="s">
        <v>408</v>
      </c>
      <c r="B38" s="12" t="s">
        <v>409</v>
      </c>
      <c r="C38" s="12" t="s">
        <v>412</v>
      </c>
      <c r="D38" s="12" t="s">
        <v>314</v>
      </c>
      <c r="E38" s="23">
        <v>45890</v>
      </c>
      <c r="F38" s="24">
        <v>120345</v>
      </c>
      <c r="G38" s="12" t="s">
        <v>316</v>
      </c>
      <c r="H38" s="14" t="s">
        <v>320</v>
      </c>
      <c r="I38" s="24">
        <v>120345</v>
      </c>
      <c r="J38" s="24">
        <v>6017.25</v>
      </c>
      <c r="K38" s="24">
        <v>0</v>
      </c>
      <c r="L38" s="24">
        <v>0</v>
      </c>
      <c r="M38" s="24">
        <v>0</v>
      </c>
      <c r="N38" s="22" t="s">
        <v>411</v>
      </c>
      <c r="O38" s="12" t="s">
        <v>401</v>
      </c>
      <c r="P38" s="14" t="s">
        <v>320</v>
      </c>
      <c r="Q38" s="12" t="s">
        <v>232</v>
      </c>
      <c r="R38" s="15" t="s">
        <v>321</v>
      </c>
      <c r="S38" s="22" t="s">
        <v>232</v>
      </c>
      <c r="T38" s="22" t="s">
        <v>232</v>
      </c>
      <c r="U38" s="22" t="s">
        <v>232</v>
      </c>
    </row>
    <row r="39" spans="1:21">
      <c r="A39" s="12" t="s">
        <v>408</v>
      </c>
      <c r="B39" s="12" t="s">
        <v>409</v>
      </c>
      <c r="C39" s="12" t="s">
        <v>413</v>
      </c>
      <c r="D39" s="12" t="s">
        <v>314</v>
      </c>
      <c r="E39" s="23">
        <v>45895</v>
      </c>
      <c r="F39" s="24">
        <v>116679</v>
      </c>
      <c r="G39" s="12" t="s">
        <v>316</v>
      </c>
      <c r="H39" s="14" t="s">
        <v>320</v>
      </c>
      <c r="I39" s="24">
        <v>116679</v>
      </c>
      <c r="J39" s="24">
        <v>5833.95</v>
      </c>
      <c r="K39" s="24">
        <v>0</v>
      </c>
      <c r="L39" s="24">
        <v>0</v>
      </c>
      <c r="M39" s="24">
        <v>0</v>
      </c>
      <c r="N39" s="22" t="s">
        <v>411</v>
      </c>
      <c r="O39" s="12" t="s">
        <v>401</v>
      </c>
      <c r="P39" s="14" t="s">
        <v>320</v>
      </c>
      <c r="Q39" s="12" t="s">
        <v>232</v>
      </c>
      <c r="R39" s="15" t="s">
        <v>321</v>
      </c>
      <c r="S39" s="22" t="s">
        <v>232</v>
      </c>
      <c r="T39" s="22" t="s">
        <v>232</v>
      </c>
      <c r="U39" s="22" t="s">
        <v>232</v>
      </c>
    </row>
    <row r="40" spans="1:21">
      <c r="A40" s="12" t="s">
        <v>414</v>
      </c>
      <c r="B40" s="12" t="s">
        <v>415</v>
      </c>
      <c r="C40" s="12" t="s">
        <v>416</v>
      </c>
      <c r="D40" s="12" t="s">
        <v>314</v>
      </c>
      <c r="E40" s="23">
        <v>45915</v>
      </c>
      <c r="F40" s="24">
        <v>23760</v>
      </c>
      <c r="G40" s="12" t="s">
        <v>316</v>
      </c>
      <c r="H40" s="14" t="s">
        <v>317</v>
      </c>
      <c r="I40" s="24">
        <v>20135.28</v>
      </c>
      <c r="J40" s="24">
        <v>0</v>
      </c>
      <c r="K40" s="24">
        <v>1812.18</v>
      </c>
      <c r="L40" s="24">
        <v>1812.18</v>
      </c>
      <c r="M40" s="24">
        <v>0</v>
      </c>
      <c r="N40" s="22" t="s">
        <v>318</v>
      </c>
      <c r="O40" s="12" t="s">
        <v>328</v>
      </c>
      <c r="P40" s="14" t="s">
        <v>320</v>
      </c>
      <c r="Q40" s="12" t="s">
        <v>232</v>
      </c>
      <c r="R40" s="15" t="s">
        <v>321</v>
      </c>
      <c r="S40" s="22" t="s">
        <v>232</v>
      </c>
      <c r="T40" s="22" t="s">
        <v>232</v>
      </c>
      <c r="U40" s="22" t="s">
        <v>232</v>
      </c>
    </row>
    <row r="41" spans="1:21">
      <c r="A41" s="12" t="s">
        <v>417</v>
      </c>
      <c r="B41" s="12" t="s">
        <v>418</v>
      </c>
      <c r="C41" s="12" t="s">
        <v>419</v>
      </c>
      <c r="D41" s="12" t="s">
        <v>314</v>
      </c>
      <c r="E41" s="23">
        <v>45926</v>
      </c>
      <c r="F41" s="24">
        <v>36800</v>
      </c>
      <c r="G41" s="12" t="s">
        <v>316</v>
      </c>
      <c r="H41" s="14" t="s">
        <v>317</v>
      </c>
      <c r="I41" s="24">
        <v>31186.85</v>
      </c>
      <c r="J41" s="24">
        <v>0</v>
      </c>
      <c r="K41" s="24">
        <v>2806.82</v>
      </c>
      <c r="L41" s="24">
        <v>2806.82</v>
      </c>
      <c r="M41" s="24">
        <v>0</v>
      </c>
      <c r="N41" s="22" t="s">
        <v>318</v>
      </c>
      <c r="O41" s="12" t="s">
        <v>319</v>
      </c>
      <c r="P41" s="14" t="s">
        <v>320</v>
      </c>
      <c r="Q41" s="12" t="s">
        <v>232</v>
      </c>
      <c r="R41" s="15" t="s">
        <v>321</v>
      </c>
      <c r="S41" s="22" t="s">
        <v>232</v>
      </c>
      <c r="T41" s="22" t="s">
        <v>232</v>
      </c>
      <c r="U41" s="22" t="s">
        <v>232</v>
      </c>
    </row>
    <row r="42" spans="1:21">
      <c r="A42" s="12" t="s">
        <v>420</v>
      </c>
      <c r="B42" s="12" t="s">
        <v>421</v>
      </c>
      <c r="C42" s="12" t="s">
        <v>422</v>
      </c>
      <c r="D42" s="12" t="s">
        <v>314</v>
      </c>
      <c r="E42" s="23">
        <v>45930</v>
      </c>
      <c r="F42" s="24">
        <v>3354.08</v>
      </c>
      <c r="G42" s="12" t="s">
        <v>316</v>
      </c>
      <c r="H42" s="14" t="s">
        <v>317</v>
      </c>
      <c r="I42" s="24">
        <v>2842.44</v>
      </c>
      <c r="J42" s="24">
        <v>511.64</v>
      </c>
      <c r="K42" s="24">
        <v>0</v>
      </c>
      <c r="L42" s="24">
        <v>0</v>
      </c>
      <c r="M42" s="24">
        <v>0</v>
      </c>
      <c r="N42" s="22" t="s">
        <v>318</v>
      </c>
      <c r="O42" s="12" t="s">
        <v>319</v>
      </c>
      <c r="P42" s="14" t="s">
        <v>320</v>
      </c>
      <c r="Q42" s="12" t="s">
        <v>232</v>
      </c>
      <c r="R42" s="15" t="s">
        <v>321</v>
      </c>
      <c r="S42" s="22" t="s">
        <v>232</v>
      </c>
      <c r="T42" s="22" t="s">
        <v>232</v>
      </c>
      <c r="U42" s="22" t="s">
        <v>232</v>
      </c>
    </row>
    <row r="43" spans="1:21">
      <c r="A43" s="12" t="s">
        <v>420</v>
      </c>
      <c r="B43" s="12" t="s">
        <v>421</v>
      </c>
      <c r="C43" s="12" t="s">
        <v>424</v>
      </c>
      <c r="D43" s="12" t="s">
        <v>314</v>
      </c>
      <c r="E43" s="23">
        <v>45930</v>
      </c>
      <c r="F43" s="24">
        <v>71.98</v>
      </c>
      <c r="G43" s="12" t="s">
        <v>316</v>
      </c>
      <c r="H43" s="14" t="s">
        <v>317</v>
      </c>
      <c r="I43" s="24">
        <v>61</v>
      </c>
      <c r="J43" s="24">
        <v>10.98</v>
      </c>
      <c r="K43" s="24">
        <v>0</v>
      </c>
      <c r="L43" s="24">
        <v>0</v>
      </c>
      <c r="M43" s="24">
        <v>0</v>
      </c>
      <c r="N43" s="22" t="s">
        <v>318</v>
      </c>
      <c r="O43" s="12" t="s">
        <v>319</v>
      </c>
      <c r="P43" s="14" t="s">
        <v>320</v>
      </c>
      <c r="Q43" s="12" t="s">
        <v>232</v>
      </c>
      <c r="R43" s="15" t="s">
        <v>321</v>
      </c>
      <c r="S43" s="22" t="s">
        <v>232</v>
      </c>
      <c r="T43" s="22" t="s">
        <v>232</v>
      </c>
      <c r="U43" s="22" t="s">
        <v>232</v>
      </c>
    </row>
    <row r="44" spans="1:21">
      <c r="A44" s="12" t="s">
        <v>425</v>
      </c>
      <c r="B44" s="12" t="s">
        <v>426</v>
      </c>
      <c r="C44" s="12" t="s">
        <v>427</v>
      </c>
      <c r="D44" s="12" t="s">
        <v>314</v>
      </c>
      <c r="E44" s="23">
        <v>45870</v>
      </c>
      <c r="F44" s="24">
        <v>32737</v>
      </c>
      <c r="G44" s="12" t="s">
        <v>316</v>
      </c>
      <c r="H44" s="14" t="s">
        <v>317</v>
      </c>
      <c r="I44" s="24">
        <v>27743.31</v>
      </c>
      <c r="J44" s="24">
        <v>0</v>
      </c>
      <c r="K44" s="24">
        <v>2496.9</v>
      </c>
      <c r="L44" s="24">
        <v>2496.9</v>
      </c>
      <c r="M44" s="24">
        <v>0</v>
      </c>
      <c r="N44" s="22" t="s">
        <v>411</v>
      </c>
      <c r="O44" s="12" t="s">
        <v>380</v>
      </c>
      <c r="P44" s="14" t="s">
        <v>320</v>
      </c>
      <c r="Q44" s="12" t="s">
        <v>232</v>
      </c>
      <c r="R44" s="15" t="s">
        <v>321</v>
      </c>
      <c r="S44" s="22" t="s">
        <v>232</v>
      </c>
      <c r="T44" s="22" t="s">
        <v>232</v>
      </c>
      <c r="U44" s="22" t="s">
        <v>232</v>
      </c>
    </row>
    <row r="45" spans="1:21">
      <c r="A45" s="12" t="s">
        <v>425</v>
      </c>
      <c r="B45" s="12" t="s">
        <v>426</v>
      </c>
      <c r="C45" s="12" t="s">
        <v>428</v>
      </c>
      <c r="D45" s="12" t="s">
        <v>314</v>
      </c>
      <c r="E45" s="23">
        <v>45871</v>
      </c>
      <c r="F45" s="24">
        <v>871</v>
      </c>
      <c r="G45" s="12" t="s">
        <v>316</v>
      </c>
      <c r="H45" s="14" t="s">
        <v>317</v>
      </c>
      <c r="I45" s="24">
        <v>738.14</v>
      </c>
      <c r="J45" s="24">
        <v>0</v>
      </c>
      <c r="K45" s="24">
        <v>66.430000000000007</v>
      </c>
      <c r="L45" s="24">
        <v>66.430000000000007</v>
      </c>
      <c r="M45" s="24">
        <v>0</v>
      </c>
      <c r="N45" s="22" t="s">
        <v>411</v>
      </c>
      <c r="O45" s="12" t="s">
        <v>380</v>
      </c>
      <c r="P45" s="14" t="s">
        <v>320</v>
      </c>
      <c r="Q45" s="12" t="s">
        <v>232</v>
      </c>
      <c r="R45" s="15" t="s">
        <v>321</v>
      </c>
      <c r="S45" s="22" t="s">
        <v>232</v>
      </c>
      <c r="T45" s="22" t="s">
        <v>232</v>
      </c>
      <c r="U45" s="22" t="s">
        <v>232</v>
      </c>
    </row>
    <row r="46" spans="1:21">
      <c r="A46" s="12" t="s">
        <v>425</v>
      </c>
      <c r="B46" s="12" t="s">
        <v>426</v>
      </c>
      <c r="C46" s="12" t="s">
        <v>429</v>
      </c>
      <c r="D46" s="12" t="s">
        <v>314</v>
      </c>
      <c r="E46" s="23">
        <v>45875</v>
      </c>
      <c r="F46" s="24">
        <v>6425</v>
      </c>
      <c r="G46" s="12" t="s">
        <v>316</v>
      </c>
      <c r="H46" s="14" t="s">
        <v>317</v>
      </c>
      <c r="I46" s="24">
        <v>5444.92</v>
      </c>
      <c r="J46" s="24">
        <v>0</v>
      </c>
      <c r="K46" s="24">
        <v>490.04</v>
      </c>
      <c r="L46" s="24">
        <v>490.04</v>
      </c>
      <c r="M46" s="24">
        <v>0</v>
      </c>
      <c r="N46" s="22" t="s">
        <v>411</v>
      </c>
      <c r="O46" s="12" t="s">
        <v>380</v>
      </c>
      <c r="P46" s="14" t="s">
        <v>320</v>
      </c>
      <c r="Q46" s="12" t="s">
        <v>232</v>
      </c>
      <c r="R46" s="15" t="s">
        <v>321</v>
      </c>
      <c r="S46" s="22" t="s">
        <v>232</v>
      </c>
      <c r="T46" s="22" t="s">
        <v>232</v>
      </c>
      <c r="U46" s="22" t="s">
        <v>232</v>
      </c>
    </row>
    <row r="47" spans="1:21">
      <c r="A47" s="12" t="s">
        <v>425</v>
      </c>
      <c r="B47" s="12" t="s">
        <v>426</v>
      </c>
      <c r="C47" s="12" t="s">
        <v>430</v>
      </c>
      <c r="D47" s="12" t="s">
        <v>314</v>
      </c>
      <c r="E47" s="23">
        <v>45878</v>
      </c>
      <c r="F47" s="24">
        <v>2087</v>
      </c>
      <c r="G47" s="12" t="s">
        <v>316</v>
      </c>
      <c r="H47" s="14" t="s">
        <v>317</v>
      </c>
      <c r="I47" s="24">
        <v>1768.36</v>
      </c>
      <c r="J47" s="24">
        <v>0</v>
      </c>
      <c r="K47" s="24">
        <v>159.15</v>
      </c>
      <c r="L47" s="24">
        <v>159.15</v>
      </c>
      <c r="M47" s="24">
        <v>0</v>
      </c>
      <c r="N47" s="22" t="s">
        <v>411</v>
      </c>
      <c r="O47" s="12" t="s">
        <v>380</v>
      </c>
      <c r="P47" s="14" t="s">
        <v>320</v>
      </c>
      <c r="Q47" s="12" t="s">
        <v>232</v>
      </c>
      <c r="R47" s="15" t="s">
        <v>321</v>
      </c>
      <c r="S47" s="22" t="s">
        <v>232</v>
      </c>
      <c r="T47" s="22" t="s">
        <v>232</v>
      </c>
      <c r="U47" s="22" t="s">
        <v>232</v>
      </c>
    </row>
    <row r="48" spans="1:21">
      <c r="A48" s="12" t="s">
        <v>425</v>
      </c>
      <c r="B48" s="12" t="s">
        <v>426</v>
      </c>
      <c r="C48" s="12" t="s">
        <v>431</v>
      </c>
      <c r="D48" s="12" t="s">
        <v>314</v>
      </c>
      <c r="E48" s="23">
        <v>45888</v>
      </c>
      <c r="F48" s="24">
        <v>363</v>
      </c>
      <c r="G48" s="12" t="s">
        <v>316</v>
      </c>
      <c r="H48" s="14" t="s">
        <v>317</v>
      </c>
      <c r="I48" s="24">
        <v>307.8</v>
      </c>
      <c r="J48" s="24">
        <v>0</v>
      </c>
      <c r="K48" s="24">
        <v>27.7</v>
      </c>
      <c r="L48" s="24">
        <v>27.7</v>
      </c>
      <c r="M48" s="24">
        <v>0</v>
      </c>
      <c r="N48" s="22" t="s">
        <v>411</v>
      </c>
      <c r="O48" s="12" t="s">
        <v>380</v>
      </c>
      <c r="P48" s="14" t="s">
        <v>320</v>
      </c>
      <c r="Q48" s="12" t="s">
        <v>232</v>
      </c>
      <c r="R48" s="15" t="s">
        <v>321</v>
      </c>
      <c r="S48" s="22" t="s">
        <v>232</v>
      </c>
      <c r="T48" s="22" t="s">
        <v>232</v>
      </c>
      <c r="U48" s="22" t="s">
        <v>232</v>
      </c>
    </row>
    <row r="49" spans="1:21">
      <c r="A49" s="12" t="s">
        <v>425</v>
      </c>
      <c r="B49" s="12" t="s">
        <v>426</v>
      </c>
      <c r="C49" s="12" t="s">
        <v>432</v>
      </c>
      <c r="D49" s="12" t="s">
        <v>314</v>
      </c>
      <c r="E49" s="23">
        <v>45891</v>
      </c>
      <c r="F49" s="24">
        <v>400</v>
      </c>
      <c r="G49" s="12" t="s">
        <v>316</v>
      </c>
      <c r="H49" s="14" t="s">
        <v>317</v>
      </c>
      <c r="I49" s="24">
        <v>338.98</v>
      </c>
      <c r="J49" s="24">
        <v>0</v>
      </c>
      <c r="K49" s="24">
        <v>30.51</v>
      </c>
      <c r="L49" s="24">
        <v>30.51</v>
      </c>
      <c r="M49" s="24">
        <v>0</v>
      </c>
      <c r="N49" s="22" t="s">
        <v>411</v>
      </c>
      <c r="O49" s="12" t="s">
        <v>380</v>
      </c>
      <c r="P49" s="14" t="s">
        <v>320</v>
      </c>
      <c r="Q49" s="12" t="s">
        <v>232</v>
      </c>
      <c r="R49" s="15" t="s">
        <v>321</v>
      </c>
      <c r="S49" s="22" t="s">
        <v>232</v>
      </c>
      <c r="T49" s="22" t="s">
        <v>232</v>
      </c>
      <c r="U49" s="22" t="s">
        <v>232</v>
      </c>
    </row>
    <row r="50" spans="1:21">
      <c r="A50" s="12" t="s">
        <v>425</v>
      </c>
      <c r="B50" s="12" t="s">
        <v>426</v>
      </c>
      <c r="C50" s="12" t="s">
        <v>433</v>
      </c>
      <c r="D50" s="12" t="s">
        <v>314</v>
      </c>
      <c r="E50" s="23">
        <v>45892</v>
      </c>
      <c r="F50" s="24">
        <v>1300</v>
      </c>
      <c r="G50" s="12" t="s">
        <v>316</v>
      </c>
      <c r="H50" s="14" t="s">
        <v>317</v>
      </c>
      <c r="I50" s="24">
        <v>1101.69</v>
      </c>
      <c r="J50" s="24">
        <v>0</v>
      </c>
      <c r="K50" s="24">
        <v>99.15</v>
      </c>
      <c r="L50" s="24">
        <v>99.15</v>
      </c>
      <c r="M50" s="24">
        <v>0</v>
      </c>
      <c r="N50" s="22" t="s">
        <v>411</v>
      </c>
      <c r="O50" s="12" t="s">
        <v>380</v>
      </c>
      <c r="P50" s="14" t="s">
        <v>320</v>
      </c>
      <c r="Q50" s="12" t="s">
        <v>232</v>
      </c>
      <c r="R50" s="15" t="s">
        <v>321</v>
      </c>
      <c r="S50" s="22" t="s">
        <v>232</v>
      </c>
      <c r="T50" s="22" t="s">
        <v>232</v>
      </c>
      <c r="U50" s="22" t="s">
        <v>232</v>
      </c>
    </row>
    <row r="51" spans="1:21">
      <c r="A51" s="12" t="s">
        <v>434</v>
      </c>
      <c r="B51" s="12" t="s">
        <v>352</v>
      </c>
      <c r="C51" s="12" t="s">
        <v>435</v>
      </c>
      <c r="D51" s="12" t="s">
        <v>314</v>
      </c>
      <c r="E51" s="23">
        <v>45930</v>
      </c>
      <c r="F51" s="24">
        <v>531</v>
      </c>
      <c r="G51" s="12" t="s">
        <v>316</v>
      </c>
      <c r="H51" s="14" t="s">
        <v>317</v>
      </c>
      <c r="I51" s="24">
        <v>450</v>
      </c>
      <c r="J51" s="24">
        <v>81</v>
      </c>
      <c r="K51" s="24">
        <v>0</v>
      </c>
      <c r="L51" s="24">
        <v>0</v>
      </c>
      <c r="M51" s="24">
        <v>0</v>
      </c>
      <c r="N51" s="22" t="s">
        <v>318</v>
      </c>
      <c r="O51" s="12" t="s">
        <v>384</v>
      </c>
      <c r="P51" s="14" t="s">
        <v>320</v>
      </c>
      <c r="Q51" s="12" t="s">
        <v>232</v>
      </c>
      <c r="R51" s="15" t="s">
        <v>321</v>
      </c>
      <c r="S51" s="22" t="s">
        <v>232</v>
      </c>
      <c r="T51" s="22" t="s">
        <v>232</v>
      </c>
      <c r="U51" s="22" t="s">
        <v>232</v>
      </c>
    </row>
    <row r="52" spans="1:21">
      <c r="A52" s="12" t="s">
        <v>436</v>
      </c>
      <c r="B52" s="12" t="s">
        <v>437</v>
      </c>
      <c r="C52" s="12" t="s">
        <v>438</v>
      </c>
      <c r="D52" s="12" t="s">
        <v>314</v>
      </c>
      <c r="E52" s="23">
        <v>45916</v>
      </c>
      <c r="F52" s="24">
        <v>59236</v>
      </c>
      <c r="G52" s="12" t="s">
        <v>316</v>
      </c>
      <c r="H52" s="14" t="s">
        <v>317</v>
      </c>
      <c r="I52" s="24">
        <v>50200</v>
      </c>
      <c r="J52" s="24">
        <v>9036</v>
      </c>
      <c r="K52" s="24">
        <v>0</v>
      </c>
      <c r="L52" s="24">
        <v>0</v>
      </c>
      <c r="M52" s="24">
        <v>0</v>
      </c>
      <c r="N52" s="22" t="s">
        <v>318</v>
      </c>
      <c r="O52" s="12" t="s">
        <v>439</v>
      </c>
      <c r="P52" s="14" t="s">
        <v>320</v>
      </c>
      <c r="Q52" s="12" t="s">
        <v>232</v>
      </c>
      <c r="R52" s="15" t="s">
        <v>321</v>
      </c>
      <c r="S52" s="22" t="s">
        <v>232</v>
      </c>
      <c r="T52" s="22" t="s">
        <v>232</v>
      </c>
      <c r="U52" s="22" t="s">
        <v>232</v>
      </c>
    </row>
    <row r="53" spans="1:21">
      <c r="A53" s="12" t="s">
        <v>440</v>
      </c>
      <c r="B53" s="12" t="s">
        <v>441</v>
      </c>
      <c r="C53" s="12" t="s">
        <v>442</v>
      </c>
      <c r="D53" s="12" t="s">
        <v>314</v>
      </c>
      <c r="E53" s="23">
        <v>45918</v>
      </c>
      <c r="F53" s="24">
        <v>2150</v>
      </c>
      <c r="G53" s="12" t="s">
        <v>316</v>
      </c>
      <c r="H53" s="14" t="s">
        <v>317</v>
      </c>
      <c r="I53" s="24">
        <v>1822.03</v>
      </c>
      <c r="J53" s="24">
        <v>0</v>
      </c>
      <c r="K53" s="24">
        <v>163.98</v>
      </c>
      <c r="L53" s="24">
        <v>163.98</v>
      </c>
      <c r="M53" s="24">
        <v>0</v>
      </c>
      <c r="N53" s="22" t="s">
        <v>318</v>
      </c>
      <c r="O53" s="12" t="s">
        <v>395</v>
      </c>
      <c r="P53" s="14" t="s">
        <v>320</v>
      </c>
      <c r="Q53" s="12" t="s">
        <v>232</v>
      </c>
      <c r="R53" s="15" t="s">
        <v>321</v>
      </c>
      <c r="S53" s="22" t="s">
        <v>232</v>
      </c>
      <c r="T53" s="22" t="s">
        <v>232</v>
      </c>
      <c r="U53" s="22" t="s">
        <v>232</v>
      </c>
    </row>
    <row r="54" spans="1:21">
      <c r="A54" s="12" t="s">
        <v>440</v>
      </c>
      <c r="B54" s="12" t="s">
        <v>441</v>
      </c>
      <c r="C54" s="12" t="s">
        <v>443</v>
      </c>
      <c r="D54" s="12" t="s">
        <v>314</v>
      </c>
      <c r="E54" s="23">
        <v>45925</v>
      </c>
      <c r="F54" s="24">
        <v>7600</v>
      </c>
      <c r="G54" s="12" t="s">
        <v>316</v>
      </c>
      <c r="H54" s="14" t="s">
        <v>317</v>
      </c>
      <c r="I54" s="24">
        <v>6440.67</v>
      </c>
      <c r="J54" s="24">
        <v>0</v>
      </c>
      <c r="K54" s="24">
        <v>579.66</v>
      </c>
      <c r="L54" s="24">
        <v>579.66</v>
      </c>
      <c r="M54" s="24">
        <v>0</v>
      </c>
      <c r="N54" s="22" t="s">
        <v>318</v>
      </c>
      <c r="O54" s="12" t="s">
        <v>395</v>
      </c>
      <c r="P54" s="14" t="s">
        <v>320</v>
      </c>
      <c r="Q54" s="12" t="s">
        <v>232</v>
      </c>
      <c r="R54" s="15" t="s">
        <v>321</v>
      </c>
      <c r="S54" s="22" t="s">
        <v>232</v>
      </c>
      <c r="T54" s="22" t="s">
        <v>232</v>
      </c>
      <c r="U54" s="22" t="s">
        <v>232</v>
      </c>
    </row>
    <row r="55" spans="1:21">
      <c r="A55" s="12" t="s">
        <v>425</v>
      </c>
      <c r="B55" s="12" t="s">
        <v>426</v>
      </c>
      <c r="C55" s="12" t="s">
        <v>444</v>
      </c>
      <c r="D55" s="12" t="s">
        <v>314</v>
      </c>
      <c r="E55" s="23">
        <v>45902</v>
      </c>
      <c r="F55" s="24">
        <v>530</v>
      </c>
      <c r="G55" s="12" t="s">
        <v>316</v>
      </c>
      <c r="H55" s="14" t="s">
        <v>317</v>
      </c>
      <c r="I55" s="24">
        <v>449.15</v>
      </c>
      <c r="J55" s="24">
        <v>0</v>
      </c>
      <c r="K55" s="24">
        <v>40.42</v>
      </c>
      <c r="L55" s="24">
        <v>40.42</v>
      </c>
      <c r="M55" s="24">
        <v>0</v>
      </c>
      <c r="N55" s="22" t="s">
        <v>318</v>
      </c>
      <c r="O55" s="12" t="s">
        <v>384</v>
      </c>
      <c r="P55" s="14" t="s">
        <v>320</v>
      </c>
      <c r="Q55" s="12" t="s">
        <v>232</v>
      </c>
      <c r="R55" s="15" t="s">
        <v>321</v>
      </c>
      <c r="S55" s="22" t="s">
        <v>232</v>
      </c>
      <c r="T55" s="22" t="s">
        <v>232</v>
      </c>
      <c r="U55" s="22" t="s">
        <v>232</v>
      </c>
    </row>
    <row r="56" spans="1:21">
      <c r="A56" s="12" t="s">
        <v>425</v>
      </c>
      <c r="B56" s="12" t="s">
        <v>426</v>
      </c>
      <c r="C56" s="12" t="s">
        <v>445</v>
      </c>
      <c r="D56" s="12" t="s">
        <v>314</v>
      </c>
      <c r="E56" s="23">
        <v>45906</v>
      </c>
      <c r="F56" s="24">
        <v>1600</v>
      </c>
      <c r="G56" s="12" t="s">
        <v>316</v>
      </c>
      <c r="H56" s="14" t="s">
        <v>317</v>
      </c>
      <c r="I56" s="24">
        <v>1355.93</v>
      </c>
      <c r="J56" s="24">
        <v>0</v>
      </c>
      <c r="K56" s="24">
        <v>122.03</v>
      </c>
      <c r="L56" s="24">
        <v>122.03</v>
      </c>
      <c r="M56" s="24">
        <v>0</v>
      </c>
      <c r="N56" s="22" t="s">
        <v>318</v>
      </c>
      <c r="O56" s="12" t="s">
        <v>384</v>
      </c>
      <c r="P56" s="14" t="s">
        <v>320</v>
      </c>
      <c r="Q56" s="12" t="s">
        <v>232</v>
      </c>
      <c r="R56" s="15" t="s">
        <v>321</v>
      </c>
      <c r="S56" s="22" t="s">
        <v>232</v>
      </c>
      <c r="T56" s="22" t="s">
        <v>232</v>
      </c>
      <c r="U56" s="22" t="s">
        <v>232</v>
      </c>
    </row>
    <row r="57" spans="1:21">
      <c r="A57" s="12" t="s">
        <v>425</v>
      </c>
      <c r="B57" s="12" t="s">
        <v>426</v>
      </c>
      <c r="C57" s="12" t="s">
        <v>447</v>
      </c>
      <c r="D57" s="12" t="s">
        <v>314</v>
      </c>
      <c r="E57" s="23">
        <v>45908</v>
      </c>
      <c r="F57" s="24">
        <v>905</v>
      </c>
      <c r="G57" s="12" t="s">
        <v>316</v>
      </c>
      <c r="H57" s="14" t="s">
        <v>317</v>
      </c>
      <c r="I57" s="24">
        <v>766.95</v>
      </c>
      <c r="J57" s="24">
        <v>0</v>
      </c>
      <c r="K57" s="24">
        <v>69.03</v>
      </c>
      <c r="L57" s="24">
        <v>69.03</v>
      </c>
      <c r="M57" s="24">
        <v>0</v>
      </c>
      <c r="N57" s="22" t="s">
        <v>318</v>
      </c>
      <c r="O57" s="12" t="s">
        <v>384</v>
      </c>
      <c r="P57" s="14" t="s">
        <v>320</v>
      </c>
      <c r="Q57" s="12" t="s">
        <v>232</v>
      </c>
      <c r="R57" s="15" t="s">
        <v>321</v>
      </c>
      <c r="S57" s="22" t="s">
        <v>232</v>
      </c>
      <c r="T57" s="22" t="s">
        <v>232</v>
      </c>
      <c r="U57" s="22" t="s">
        <v>232</v>
      </c>
    </row>
    <row r="58" spans="1:21">
      <c r="A58" s="12" t="s">
        <v>425</v>
      </c>
      <c r="B58" s="12" t="s">
        <v>426</v>
      </c>
      <c r="C58" s="12" t="s">
        <v>448</v>
      </c>
      <c r="D58" s="12" t="s">
        <v>314</v>
      </c>
      <c r="E58" s="23">
        <v>45917</v>
      </c>
      <c r="F58" s="24">
        <v>1725</v>
      </c>
      <c r="G58" s="12" t="s">
        <v>316</v>
      </c>
      <c r="H58" s="14" t="s">
        <v>317</v>
      </c>
      <c r="I58" s="24">
        <v>1461.86</v>
      </c>
      <c r="J58" s="24">
        <v>0</v>
      </c>
      <c r="K58" s="24">
        <v>131.57</v>
      </c>
      <c r="L58" s="24">
        <v>131.57</v>
      </c>
      <c r="M58" s="24">
        <v>0</v>
      </c>
      <c r="N58" s="22" t="s">
        <v>318</v>
      </c>
      <c r="O58" s="12" t="s">
        <v>384</v>
      </c>
      <c r="P58" s="14" t="s">
        <v>320</v>
      </c>
      <c r="Q58" s="12" t="s">
        <v>232</v>
      </c>
      <c r="R58" s="15" t="s">
        <v>321</v>
      </c>
      <c r="S58" s="22" t="s">
        <v>232</v>
      </c>
      <c r="T58" s="22" t="s">
        <v>232</v>
      </c>
      <c r="U58" s="22" t="s">
        <v>232</v>
      </c>
    </row>
    <row r="59" spans="1:21">
      <c r="A59" s="12" t="s">
        <v>425</v>
      </c>
      <c r="B59" s="12" t="s">
        <v>426</v>
      </c>
      <c r="C59" s="12" t="s">
        <v>450</v>
      </c>
      <c r="D59" s="12" t="s">
        <v>314</v>
      </c>
      <c r="E59" s="23">
        <v>45920</v>
      </c>
      <c r="F59" s="24">
        <v>498</v>
      </c>
      <c r="G59" s="12" t="s">
        <v>316</v>
      </c>
      <c r="H59" s="14" t="s">
        <v>317</v>
      </c>
      <c r="I59" s="24">
        <v>421.66</v>
      </c>
      <c r="J59" s="24">
        <v>0</v>
      </c>
      <c r="K59" s="24">
        <v>37.950000000000003</v>
      </c>
      <c r="L59" s="24">
        <v>37.950000000000003</v>
      </c>
      <c r="M59" s="24">
        <v>0</v>
      </c>
      <c r="N59" s="22" t="s">
        <v>318</v>
      </c>
      <c r="O59" s="12" t="s">
        <v>384</v>
      </c>
      <c r="P59" s="14" t="s">
        <v>320</v>
      </c>
      <c r="Q59" s="12" t="s">
        <v>232</v>
      </c>
      <c r="R59" s="15" t="s">
        <v>321</v>
      </c>
      <c r="S59" s="22" t="s">
        <v>232</v>
      </c>
      <c r="T59" s="22" t="s">
        <v>232</v>
      </c>
      <c r="U59" s="22" t="s">
        <v>232</v>
      </c>
    </row>
    <row r="60" spans="1:21">
      <c r="A60" s="12" t="s">
        <v>425</v>
      </c>
      <c r="B60" s="12" t="s">
        <v>426</v>
      </c>
      <c r="C60" s="12" t="s">
        <v>452</v>
      </c>
      <c r="D60" s="12" t="s">
        <v>314</v>
      </c>
      <c r="E60" s="23">
        <v>45926</v>
      </c>
      <c r="F60" s="24">
        <v>31894</v>
      </c>
      <c r="G60" s="12" t="s">
        <v>316</v>
      </c>
      <c r="H60" s="14" t="s">
        <v>317</v>
      </c>
      <c r="I60" s="24">
        <v>27028.639999999999</v>
      </c>
      <c r="J60" s="24">
        <v>0</v>
      </c>
      <c r="K60" s="24">
        <v>2432.58</v>
      </c>
      <c r="L60" s="24">
        <v>2432.58</v>
      </c>
      <c r="M60" s="24">
        <v>0</v>
      </c>
      <c r="N60" s="22" t="s">
        <v>318</v>
      </c>
      <c r="O60" s="12" t="s">
        <v>384</v>
      </c>
      <c r="P60" s="14" t="s">
        <v>320</v>
      </c>
      <c r="Q60" s="12" t="s">
        <v>232</v>
      </c>
      <c r="R60" s="15" t="s">
        <v>321</v>
      </c>
      <c r="S60" s="22" t="s">
        <v>232</v>
      </c>
      <c r="T60" s="22" t="s">
        <v>232</v>
      </c>
      <c r="U60" s="22" t="s">
        <v>232</v>
      </c>
    </row>
    <row r="61" spans="1:21">
      <c r="A61" s="12" t="s">
        <v>453</v>
      </c>
      <c r="B61" s="12" t="s">
        <v>454</v>
      </c>
      <c r="C61" s="12" t="s">
        <v>455</v>
      </c>
      <c r="D61" s="12" t="s">
        <v>314</v>
      </c>
      <c r="E61" s="23">
        <v>45911</v>
      </c>
      <c r="F61" s="24">
        <v>198</v>
      </c>
      <c r="G61" s="12" t="s">
        <v>316</v>
      </c>
      <c r="H61" s="14" t="s">
        <v>317</v>
      </c>
      <c r="I61" s="24">
        <v>167.8</v>
      </c>
      <c r="J61" s="24">
        <v>30.2</v>
      </c>
      <c r="K61" s="24">
        <v>0</v>
      </c>
      <c r="L61" s="24">
        <v>0</v>
      </c>
      <c r="M61" s="24">
        <v>0</v>
      </c>
      <c r="N61" s="22" t="s">
        <v>318</v>
      </c>
      <c r="O61" s="12" t="s">
        <v>384</v>
      </c>
      <c r="P61" s="14" t="s">
        <v>320</v>
      </c>
      <c r="Q61" s="12" t="s">
        <v>232</v>
      </c>
      <c r="R61" s="15" t="s">
        <v>321</v>
      </c>
      <c r="S61" s="22" t="s">
        <v>232</v>
      </c>
      <c r="T61" s="22" t="s">
        <v>232</v>
      </c>
      <c r="U61" s="22" t="s">
        <v>232</v>
      </c>
    </row>
    <row r="62" spans="1:21">
      <c r="A62" s="12" t="s">
        <v>453</v>
      </c>
      <c r="B62" s="12" t="s">
        <v>454</v>
      </c>
      <c r="C62" s="12" t="s">
        <v>456</v>
      </c>
      <c r="D62" s="12" t="s">
        <v>314</v>
      </c>
      <c r="E62" s="23">
        <v>45911</v>
      </c>
      <c r="F62" s="24">
        <v>25</v>
      </c>
      <c r="G62" s="12" t="s">
        <v>316</v>
      </c>
      <c r="H62" s="14" t="s">
        <v>317</v>
      </c>
      <c r="I62" s="24">
        <v>21.19</v>
      </c>
      <c r="J62" s="24">
        <v>3.81</v>
      </c>
      <c r="K62" s="24">
        <v>0</v>
      </c>
      <c r="L62" s="24">
        <v>0</v>
      </c>
      <c r="M62" s="24">
        <v>0</v>
      </c>
      <c r="N62" s="22" t="s">
        <v>318</v>
      </c>
      <c r="O62" s="12" t="s">
        <v>384</v>
      </c>
      <c r="P62" s="14" t="s">
        <v>320</v>
      </c>
      <c r="Q62" s="12" t="s">
        <v>232</v>
      </c>
      <c r="R62" s="15" t="s">
        <v>321</v>
      </c>
      <c r="S62" s="22" t="s">
        <v>232</v>
      </c>
      <c r="T62" s="22" t="s">
        <v>232</v>
      </c>
      <c r="U62" s="22" t="s">
        <v>232</v>
      </c>
    </row>
    <row r="63" spans="1:21">
      <c r="A63" s="12" t="s">
        <v>453</v>
      </c>
      <c r="B63" s="12" t="s">
        <v>454</v>
      </c>
      <c r="C63" s="12" t="s">
        <v>457</v>
      </c>
      <c r="D63" s="12" t="s">
        <v>314</v>
      </c>
      <c r="E63" s="23">
        <v>45930</v>
      </c>
      <c r="F63" s="24">
        <v>10.62</v>
      </c>
      <c r="G63" s="12" t="s">
        <v>316</v>
      </c>
      <c r="H63" s="14" t="s">
        <v>317</v>
      </c>
      <c r="I63" s="24">
        <v>9</v>
      </c>
      <c r="J63" s="24">
        <v>1.62</v>
      </c>
      <c r="K63" s="24">
        <v>0</v>
      </c>
      <c r="L63" s="24">
        <v>0</v>
      </c>
      <c r="M63" s="24">
        <v>0</v>
      </c>
      <c r="N63" s="22" t="s">
        <v>318</v>
      </c>
      <c r="O63" s="12" t="s">
        <v>384</v>
      </c>
      <c r="P63" s="14" t="s">
        <v>320</v>
      </c>
      <c r="Q63" s="12" t="s">
        <v>232</v>
      </c>
      <c r="R63" s="15" t="s">
        <v>321</v>
      </c>
      <c r="S63" s="22" t="s">
        <v>232</v>
      </c>
      <c r="T63" s="22" t="s">
        <v>232</v>
      </c>
      <c r="U63" s="22" t="s">
        <v>232</v>
      </c>
    </row>
    <row r="64" spans="1:21">
      <c r="A64" s="12" t="s">
        <v>458</v>
      </c>
      <c r="B64" s="12" t="s">
        <v>459</v>
      </c>
      <c r="C64" s="12" t="s">
        <v>460</v>
      </c>
      <c r="D64" s="12" t="s">
        <v>314</v>
      </c>
      <c r="E64" s="23">
        <v>45916</v>
      </c>
      <c r="F64" s="24">
        <v>7350</v>
      </c>
      <c r="G64" s="12" t="s">
        <v>316</v>
      </c>
      <c r="H64" s="14" t="s">
        <v>317</v>
      </c>
      <c r="I64" s="24">
        <v>6228.8</v>
      </c>
      <c r="J64" s="24">
        <v>0</v>
      </c>
      <c r="K64" s="24">
        <v>560.59</v>
      </c>
      <c r="L64" s="24">
        <v>560.59</v>
      </c>
      <c r="M64" s="24">
        <v>0</v>
      </c>
      <c r="N64" s="22" t="s">
        <v>318</v>
      </c>
      <c r="O64" s="12" t="s">
        <v>384</v>
      </c>
      <c r="P64" s="14" t="s">
        <v>320</v>
      </c>
      <c r="Q64" s="12" t="s">
        <v>232</v>
      </c>
      <c r="R64" s="15" t="s">
        <v>321</v>
      </c>
      <c r="S64" s="22" t="s">
        <v>232</v>
      </c>
      <c r="T64" s="22" t="s">
        <v>232</v>
      </c>
      <c r="U64" s="22" t="s">
        <v>232</v>
      </c>
    </row>
    <row r="65" spans="1:21">
      <c r="A65" s="12" t="s">
        <v>408</v>
      </c>
      <c r="B65" s="12" t="s">
        <v>409</v>
      </c>
      <c r="C65" s="12" t="s">
        <v>461</v>
      </c>
      <c r="D65" s="12" t="s">
        <v>314</v>
      </c>
      <c r="E65" s="23">
        <v>45906</v>
      </c>
      <c r="F65" s="24">
        <v>125048</v>
      </c>
      <c r="G65" s="12" t="s">
        <v>316</v>
      </c>
      <c r="H65" s="14" t="s">
        <v>320</v>
      </c>
      <c r="I65" s="24">
        <v>125048</v>
      </c>
      <c r="J65" s="24">
        <v>6252.4</v>
      </c>
      <c r="K65" s="24">
        <v>0</v>
      </c>
      <c r="L65" s="24">
        <v>0</v>
      </c>
      <c r="M65" s="24">
        <v>0</v>
      </c>
      <c r="N65" s="22" t="s">
        <v>318</v>
      </c>
      <c r="O65" s="12" t="s">
        <v>384</v>
      </c>
      <c r="P65" s="14" t="s">
        <v>320</v>
      </c>
      <c r="Q65" s="12" t="s">
        <v>232</v>
      </c>
      <c r="R65" s="15" t="s">
        <v>321</v>
      </c>
      <c r="S65" s="22" t="s">
        <v>232</v>
      </c>
      <c r="T65" s="22" t="s">
        <v>232</v>
      </c>
      <c r="U65" s="22" t="s">
        <v>232</v>
      </c>
    </row>
    <row r="66" spans="1:21">
      <c r="A66" s="12" t="s">
        <v>408</v>
      </c>
      <c r="B66" s="12" t="s">
        <v>409</v>
      </c>
      <c r="C66" s="12" t="s">
        <v>462</v>
      </c>
      <c r="D66" s="12" t="s">
        <v>314</v>
      </c>
      <c r="E66" s="23">
        <v>45926</v>
      </c>
      <c r="F66" s="24">
        <v>129561</v>
      </c>
      <c r="G66" s="12" t="s">
        <v>316</v>
      </c>
      <c r="H66" s="14" t="s">
        <v>320</v>
      </c>
      <c r="I66" s="24">
        <v>129561</v>
      </c>
      <c r="J66" s="24">
        <v>6478.05</v>
      </c>
      <c r="K66" s="24">
        <v>0</v>
      </c>
      <c r="L66" s="24">
        <v>0</v>
      </c>
      <c r="M66" s="24">
        <v>0</v>
      </c>
      <c r="N66" s="22" t="s">
        <v>318</v>
      </c>
      <c r="O66" s="12" t="s">
        <v>384</v>
      </c>
      <c r="P66" s="14" t="s">
        <v>320</v>
      </c>
      <c r="Q66" s="12" t="s">
        <v>232</v>
      </c>
      <c r="R66" s="15" t="s">
        <v>321</v>
      </c>
      <c r="S66" s="22" t="s">
        <v>232</v>
      </c>
      <c r="T66" s="22" t="s">
        <v>232</v>
      </c>
      <c r="U66" s="22" t="s">
        <v>232</v>
      </c>
    </row>
    <row r="67" spans="1:21">
      <c r="A67" s="12" t="s">
        <v>463</v>
      </c>
      <c r="B67" s="12" t="s">
        <v>464</v>
      </c>
      <c r="C67" s="12" t="s">
        <v>465</v>
      </c>
      <c r="D67" s="12" t="s">
        <v>314</v>
      </c>
      <c r="E67" s="23">
        <v>45929</v>
      </c>
      <c r="F67" s="24">
        <v>640</v>
      </c>
      <c r="G67" s="12" t="s">
        <v>316</v>
      </c>
      <c r="H67" s="14" t="s">
        <v>317</v>
      </c>
      <c r="I67" s="24">
        <v>542.37</v>
      </c>
      <c r="J67" s="24">
        <v>0</v>
      </c>
      <c r="K67" s="24">
        <v>48.81</v>
      </c>
      <c r="L67" s="24">
        <v>48.81</v>
      </c>
      <c r="M67" s="24">
        <v>0</v>
      </c>
      <c r="N67" s="22" t="s">
        <v>318</v>
      </c>
      <c r="O67" s="12" t="s">
        <v>384</v>
      </c>
      <c r="P67" s="14" t="s">
        <v>320</v>
      </c>
      <c r="Q67" s="12" t="s">
        <v>232</v>
      </c>
      <c r="R67" s="15" t="s">
        <v>321</v>
      </c>
      <c r="S67" s="22" t="s">
        <v>232</v>
      </c>
      <c r="T67" s="22" t="s">
        <v>232</v>
      </c>
      <c r="U67" s="22" t="s">
        <v>232</v>
      </c>
    </row>
    <row r="68" spans="1:21">
      <c r="A68" s="12" t="s">
        <v>466</v>
      </c>
      <c r="B68" s="12" t="s">
        <v>467</v>
      </c>
      <c r="C68" s="12" t="s">
        <v>468</v>
      </c>
      <c r="D68" s="12" t="s">
        <v>314</v>
      </c>
      <c r="E68" s="23">
        <v>45930</v>
      </c>
      <c r="F68" s="24">
        <v>14490</v>
      </c>
      <c r="G68" s="12" t="s">
        <v>316</v>
      </c>
      <c r="H68" s="14" t="s">
        <v>317</v>
      </c>
      <c r="I68" s="24">
        <v>13800</v>
      </c>
      <c r="J68" s="24">
        <v>0</v>
      </c>
      <c r="K68" s="24">
        <v>345</v>
      </c>
      <c r="L68" s="24">
        <v>345</v>
      </c>
      <c r="M68" s="24">
        <v>0</v>
      </c>
      <c r="N68" s="22" t="s">
        <v>318</v>
      </c>
      <c r="O68" s="12" t="s">
        <v>384</v>
      </c>
      <c r="P68" s="14" t="s">
        <v>320</v>
      </c>
      <c r="Q68" s="12" t="s">
        <v>232</v>
      </c>
      <c r="R68" s="15" t="s">
        <v>321</v>
      </c>
      <c r="S68" s="22" t="s">
        <v>232</v>
      </c>
      <c r="T68" s="22" t="s">
        <v>232</v>
      </c>
      <c r="U68" s="22" t="s">
        <v>232</v>
      </c>
    </row>
    <row r="69" spans="1:21">
      <c r="A69" s="12" t="s">
        <v>466</v>
      </c>
      <c r="B69" s="12" t="s">
        <v>467</v>
      </c>
      <c r="C69" s="12" t="s">
        <v>469</v>
      </c>
      <c r="D69" s="12" t="s">
        <v>314</v>
      </c>
      <c r="E69" s="23">
        <v>45930</v>
      </c>
      <c r="F69" s="24">
        <v>35471.1</v>
      </c>
      <c r="G69" s="12" t="s">
        <v>316</v>
      </c>
      <c r="H69" s="14" t="s">
        <v>317</v>
      </c>
      <c r="I69" s="24">
        <v>33782</v>
      </c>
      <c r="J69" s="24">
        <v>0</v>
      </c>
      <c r="K69" s="24">
        <v>844.55</v>
      </c>
      <c r="L69" s="24">
        <v>844.55</v>
      </c>
      <c r="M69" s="24">
        <v>0</v>
      </c>
      <c r="N69" s="22" t="s">
        <v>318</v>
      </c>
      <c r="O69" s="12" t="s">
        <v>384</v>
      </c>
      <c r="P69" s="14" t="s">
        <v>320</v>
      </c>
      <c r="Q69" s="12" t="s">
        <v>232</v>
      </c>
      <c r="R69" s="15" t="s">
        <v>321</v>
      </c>
      <c r="S69" s="22" t="s">
        <v>232</v>
      </c>
      <c r="T69" s="22" t="s">
        <v>232</v>
      </c>
      <c r="U69" s="22" t="s">
        <v>232</v>
      </c>
    </row>
    <row r="70" spans="1:21">
      <c r="A70" s="12" t="s">
        <v>470</v>
      </c>
      <c r="B70" s="12" t="s">
        <v>471</v>
      </c>
      <c r="C70" s="12" t="s">
        <v>472</v>
      </c>
      <c r="D70" s="12" t="s">
        <v>314</v>
      </c>
      <c r="E70" s="23">
        <v>45918</v>
      </c>
      <c r="F70" s="24">
        <v>146648</v>
      </c>
      <c r="G70" s="12" t="s">
        <v>316</v>
      </c>
      <c r="H70" s="14" t="s">
        <v>317</v>
      </c>
      <c r="I70" s="24">
        <v>124278</v>
      </c>
      <c r="J70" s="24">
        <v>0</v>
      </c>
      <c r="K70" s="24">
        <v>11185.02</v>
      </c>
      <c r="L70" s="24">
        <v>11185.02</v>
      </c>
      <c r="M70" s="24">
        <v>0</v>
      </c>
      <c r="N70" s="22" t="s">
        <v>318</v>
      </c>
      <c r="O70" s="12" t="s">
        <v>319</v>
      </c>
      <c r="P70" s="14" t="s">
        <v>320</v>
      </c>
      <c r="Q70" s="12" t="s">
        <v>232</v>
      </c>
      <c r="R70" s="15" t="s">
        <v>321</v>
      </c>
      <c r="S70" s="22" t="s">
        <v>322</v>
      </c>
      <c r="T70" s="22" t="s">
        <v>473</v>
      </c>
      <c r="U70" s="22" t="s">
        <v>335</v>
      </c>
    </row>
    <row r="71" spans="1:21">
      <c r="A71" s="12" t="s">
        <v>474</v>
      </c>
      <c r="B71" s="12" t="s">
        <v>475</v>
      </c>
      <c r="C71" s="12" t="s">
        <v>476</v>
      </c>
      <c r="D71" s="12" t="s">
        <v>314</v>
      </c>
      <c r="E71" s="23">
        <v>45925</v>
      </c>
      <c r="F71" s="24">
        <v>16093</v>
      </c>
      <c r="G71" s="12" t="s">
        <v>316</v>
      </c>
      <c r="H71" s="14" t="s">
        <v>317</v>
      </c>
      <c r="I71" s="24">
        <v>13638.14</v>
      </c>
      <c r="J71" s="24">
        <v>0</v>
      </c>
      <c r="K71" s="24">
        <v>1227.43</v>
      </c>
      <c r="L71" s="24">
        <v>1227.43</v>
      </c>
      <c r="M71" s="24">
        <v>0</v>
      </c>
      <c r="N71" s="22" t="s">
        <v>318</v>
      </c>
      <c r="O71" s="12" t="s">
        <v>395</v>
      </c>
      <c r="P71" s="14" t="s">
        <v>320</v>
      </c>
      <c r="Q71" s="12" t="s">
        <v>232</v>
      </c>
      <c r="R71" s="15" t="s">
        <v>321</v>
      </c>
      <c r="S71" s="22" t="s">
        <v>232</v>
      </c>
      <c r="T71" s="22" t="s">
        <v>232</v>
      </c>
      <c r="U71" s="22" t="s">
        <v>232</v>
      </c>
    </row>
    <row r="72" spans="1:21">
      <c r="A72" s="12" t="s">
        <v>477</v>
      </c>
      <c r="B72" s="12" t="s">
        <v>478</v>
      </c>
      <c r="C72" s="12" t="s">
        <v>479</v>
      </c>
      <c r="D72" s="12" t="s">
        <v>314</v>
      </c>
      <c r="E72" s="23">
        <v>45910</v>
      </c>
      <c r="F72" s="24">
        <v>9230</v>
      </c>
      <c r="G72" s="12" t="s">
        <v>316</v>
      </c>
      <c r="H72" s="14" t="s">
        <v>317</v>
      </c>
      <c r="I72" s="24">
        <v>7822.04</v>
      </c>
      <c r="J72" s="24">
        <v>0</v>
      </c>
      <c r="K72" s="24">
        <v>703.98</v>
      </c>
      <c r="L72" s="24">
        <v>703.98</v>
      </c>
      <c r="M72" s="24">
        <v>0</v>
      </c>
      <c r="N72" s="22" t="s">
        <v>318</v>
      </c>
      <c r="O72" s="12" t="s">
        <v>395</v>
      </c>
      <c r="P72" s="14" t="s">
        <v>320</v>
      </c>
      <c r="Q72" s="12" t="s">
        <v>232</v>
      </c>
      <c r="R72" s="15" t="s">
        <v>321</v>
      </c>
      <c r="S72" s="22" t="s">
        <v>232</v>
      </c>
      <c r="T72" s="22" t="s">
        <v>232</v>
      </c>
      <c r="U72" s="22" t="s">
        <v>232</v>
      </c>
    </row>
    <row r="73" spans="1:21">
      <c r="A73" s="12" t="s">
        <v>477</v>
      </c>
      <c r="B73" s="12" t="s">
        <v>478</v>
      </c>
      <c r="C73" s="12" t="s">
        <v>480</v>
      </c>
      <c r="D73" s="12" t="s">
        <v>314</v>
      </c>
      <c r="E73" s="23">
        <v>45929</v>
      </c>
      <c r="F73" s="24">
        <v>7085</v>
      </c>
      <c r="G73" s="12" t="s">
        <v>316</v>
      </c>
      <c r="H73" s="14" t="s">
        <v>317</v>
      </c>
      <c r="I73" s="24">
        <v>6004.24</v>
      </c>
      <c r="J73" s="24">
        <v>0</v>
      </c>
      <c r="K73" s="24">
        <v>540.38</v>
      </c>
      <c r="L73" s="24">
        <v>540.38</v>
      </c>
      <c r="M73" s="24">
        <v>0</v>
      </c>
      <c r="N73" s="22" t="s">
        <v>318</v>
      </c>
      <c r="O73" s="12" t="s">
        <v>395</v>
      </c>
      <c r="P73" s="14" t="s">
        <v>320</v>
      </c>
      <c r="Q73" s="12" t="s">
        <v>232</v>
      </c>
      <c r="R73" s="15" t="s">
        <v>321</v>
      </c>
      <c r="S73" s="22" t="s">
        <v>232</v>
      </c>
      <c r="T73" s="22" t="s">
        <v>232</v>
      </c>
      <c r="U73" s="22" t="s">
        <v>232</v>
      </c>
    </row>
    <row r="74" spans="1:21">
      <c r="A74" s="12" t="s">
        <v>477</v>
      </c>
      <c r="B74" s="12" t="s">
        <v>478</v>
      </c>
      <c r="C74" s="12" t="s">
        <v>481</v>
      </c>
      <c r="D74" s="12" t="s">
        <v>314</v>
      </c>
      <c r="E74" s="23">
        <v>45930</v>
      </c>
      <c r="F74" s="24">
        <v>20670</v>
      </c>
      <c r="G74" s="12" t="s">
        <v>316</v>
      </c>
      <c r="H74" s="14" t="s">
        <v>317</v>
      </c>
      <c r="I74" s="24">
        <v>17516.95</v>
      </c>
      <c r="J74" s="24">
        <v>0</v>
      </c>
      <c r="K74" s="24">
        <v>1576.53</v>
      </c>
      <c r="L74" s="24">
        <v>1576.53</v>
      </c>
      <c r="M74" s="24">
        <v>0</v>
      </c>
      <c r="N74" s="22" t="s">
        <v>318</v>
      </c>
      <c r="O74" s="12" t="s">
        <v>395</v>
      </c>
      <c r="P74" s="14" t="s">
        <v>320</v>
      </c>
      <c r="Q74" s="12" t="s">
        <v>232</v>
      </c>
      <c r="R74" s="15" t="s">
        <v>321</v>
      </c>
      <c r="S74" s="22" t="s">
        <v>232</v>
      </c>
      <c r="T74" s="22" t="s">
        <v>232</v>
      </c>
      <c r="U74" s="22" t="s">
        <v>232</v>
      </c>
    </row>
    <row r="75" spans="1:21">
      <c r="A75" s="12" t="s">
        <v>482</v>
      </c>
      <c r="B75" s="12" t="s">
        <v>483</v>
      </c>
      <c r="C75" s="12" t="s">
        <v>484</v>
      </c>
      <c r="D75" s="12" t="s">
        <v>314</v>
      </c>
      <c r="E75" s="23">
        <v>45889</v>
      </c>
      <c r="F75" s="24">
        <v>1800</v>
      </c>
      <c r="G75" s="12" t="s">
        <v>316</v>
      </c>
      <c r="H75" s="14" t="s">
        <v>320</v>
      </c>
      <c r="I75" s="24">
        <v>1800</v>
      </c>
      <c r="J75" s="24">
        <v>90</v>
      </c>
      <c r="K75" s="24">
        <v>0</v>
      </c>
      <c r="L75" s="24">
        <v>0</v>
      </c>
      <c r="M75" s="24">
        <v>0</v>
      </c>
      <c r="N75" s="22" t="s">
        <v>411</v>
      </c>
      <c r="O75" s="12" t="s">
        <v>485</v>
      </c>
      <c r="P75" s="14" t="s">
        <v>320</v>
      </c>
      <c r="Q75" s="12" t="s">
        <v>232</v>
      </c>
      <c r="R75" s="15" t="s">
        <v>321</v>
      </c>
      <c r="S75" s="22" t="s">
        <v>232</v>
      </c>
      <c r="T75" s="22" t="s">
        <v>232</v>
      </c>
      <c r="U75" s="22" t="s">
        <v>232</v>
      </c>
    </row>
    <row r="76" spans="1:21">
      <c r="A76" s="12" t="s">
        <v>486</v>
      </c>
      <c r="B76" s="12" t="s">
        <v>487</v>
      </c>
      <c r="C76" s="12" t="s">
        <v>488</v>
      </c>
      <c r="D76" s="12" t="s">
        <v>314</v>
      </c>
      <c r="E76" s="23">
        <v>45929</v>
      </c>
      <c r="F76" s="24">
        <v>16756</v>
      </c>
      <c r="G76" s="12" t="s">
        <v>316</v>
      </c>
      <c r="H76" s="14" t="s">
        <v>317</v>
      </c>
      <c r="I76" s="24">
        <v>14199.99</v>
      </c>
      <c r="J76" s="24">
        <v>0</v>
      </c>
      <c r="K76" s="24">
        <v>1278</v>
      </c>
      <c r="L76" s="24">
        <v>1278</v>
      </c>
      <c r="M76" s="24">
        <v>0</v>
      </c>
      <c r="N76" s="22" t="s">
        <v>318</v>
      </c>
      <c r="O76" s="12" t="s">
        <v>319</v>
      </c>
      <c r="P76" s="14" t="s">
        <v>320</v>
      </c>
      <c r="Q76" s="12" t="s">
        <v>232</v>
      </c>
      <c r="R76" s="15" t="s">
        <v>321</v>
      </c>
      <c r="S76" s="22" t="s">
        <v>232</v>
      </c>
      <c r="T76" s="22" t="s">
        <v>232</v>
      </c>
      <c r="U76" s="22" t="s">
        <v>232</v>
      </c>
    </row>
    <row r="77" spans="1:21">
      <c r="A77" s="12" t="s">
        <v>489</v>
      </c>
      <c r="B77" s="12" t="s">
        <v>490</v>
      </c>
      <c r="C77" s="12" t="s">
        <v>491</v>
      </c>
      <c r="D77" s="12" t="s">
        <v>314</v>
      </c>
      <c r="E77" s="23">
        <v>45916</v>
      </c>
      <c r="F77" s="24">
        <v>269903</v>
      </c>
      <c r="G77" s="12" t="s">
        <v>316</v>
      </c>
      <c r="H77" s="14" t="s">
        <v>317</v>
      </c>
      <c r="I77" s="24">
        <v>228731.55</v>
      </c>
      <c r="J77" s="24">
        <v>41171.68</v>
      </c>
      <c r="K77" s="24">
        <v>0</v>
      </c>
      <c r="L77" s="24">
        <v>0</v>
      </c>
      <c r="M77" s="24">
        <v>0</v>
      </c>
      <c r="N77" s="22" t="s">
        <v>318</v>
      </c>
      <c r="O77" s="12" t="s">
        <v>492</v>
      </c>
      <c r="P77" s="14" t="s">
        <v>320</v>
      </c>
      <c r="Q77" s="12" t="s">
        <v>232</v>
      </c>
      <c r="R77" s="15" t="s">
        <v>321</v>
      </c>
      <c r="S77" s="22" t="s">
        <v>322</v>
      </c>
      <c r="T77" s="22" t="s">
        <v>493</v>
      </c>
      <c r="U77" s="22" t="s">
        <v>361</v>
      </c>
    </row>
    <row r="78" spans="1:21">
      <c r="A78" s="12" t="s">
        <v>494</v>
      </c>
      <c r="B78" s="12" t="s">
        <v>495</v>
      </c>
      <c r="C78" s="12" t="s">
        <v>496</v>
      </c>
      <c r="D78" s="12" t="s">
        <v>314</v>
      </c>
      <c r="E78" s="23">
        <v>45902</v>
      </c>
      <c r="F78" s="24">
        <v>24639</v>
      </c>
      <c r="G78" s="12" t="s">
        <v>316</v>
      </c>
      <c r="H78" s="14" t="s">
        <v>317</v>
      </c>
      <c r="I78" s="24">
        <v>20880.64</v>
      </c>
      <c r="J78" s="24">
        <v>0</v>
      </c>
      <c r="K78" s="24">
        <v>1879.26</v>
      </c>
      <c r="L78" s="24">
        <v>1879.26</v>
      </c>
      <c r="M78" s="24">
        <v>0</v>
      </c>
      <c r="N78" s="22" t="s">
        <v>318</v>
      </c>
      <c r="O78" s="12" t="s">
        <v>319</v>
      </c>
      <c r="P78" s="14" t="s">
        <v>320</v>
      </c>
      <c r="Q78" s="12" t="s">
        <v>232</v>
      </c>
      <c r="R78" s="15" t="s">
        <v>321</v>
      </c>
      <c r="S78" s="22" t="s">
        <v>322</v>
      </c>
      <c r="T78" s="22" t="s">
        <v>497</v>
      </c>
      <c r="U78" s="22" t="s">
        <v>345</v>
      </c>
    </row>
    <row r="79" spans="1:21">
      <c r="A79" s="12" t="s">
        <v>498</v>
      </c>
      <c r="B79" s="12" t="s">
        <v>499</v>
      </c>
      <c r="C79" s="12" t="s">
        <v>500</v>
      </c>
      <c r="D79" s="12" t="s">
        <v>314</v>
      </c>
      <c r="E79" s="23">
        <v>45905</v>
      </c>
      <c r="F79" s="24">
        <v>699537</v>
      </c>
      <c r="G79" s="12" t="s">
        <v>316</v>
      </c>
      <c r="H79" s="14" t="s">
        <v>317</v>
      </c>
      <c r="I79" s="24">
        <v>592828.05000000005</v>
      </c>
      <c r="J79" s="24">
        <v>106709.05</v>
      </c>
      <c r="K79" s="24">
        <v>0</v>
      </c>
      <c r="L79" s="24">
        <v>0</v>
      </c>
      <c r="M79" s="24">
        <v>0</v>
      </c>
      <c r="N79" s="22" t="s">
        <v>318</v>
      </c>
      <c r="O79" s="12" t="s">
        <v>319</v>
      </c>
      <c r="P79" s="14" t="s">
        <v>320</v>
      </c>
      <c r="Q79" s="12" t="s">
        <v>232</v>
      </c>
      <c r="R79" s="15" t="s">
        <v>321</v>
      </c>
      <c r="S79" s="22" t="s">
        <v>322</v>
      </c>
      <c r="T79" s="22" t="s">
        <v>502</v>
      </c>
      <c r="U79" s="22" t="s">
        <v>501</v>
      </c>
    </row>
    <row r="80" spans="1:21">
      <c r="A80" s="12" t="s">
        <v>498</v>
      </c>
      <c r="B80" s="12" t="s">
        <v>499</v>
      </c>
      <c r="C80" s="12" t="s">
        <v>503</v>
      </c>
      <c r="D80" s="12" t="s">
        <v>314</v>
      </c>
      <c r="E80" s="23">
        <v>45912</v>
      </c>
      <c r="F80" s="24">
        <v>752611</v>
      </c>
      <c r="G80" s="12" t="s">
        <v>316</v>
      </c>
      <c r="H80" s="14" t="s">
        <v>317</v>
      </c>
      <c r="I80" s="24">
        <v>637806.13</v>
      </c>
      <c r="J80" s="24">
        <v>114805.12</v>
      </c>
      <c r="K80" s="24">
        <v>0</v>
      </c>
      <c r="L80" s="24">
        <v>0</v>
      </c>
      <c r="M80" s="24">
        <v>0</v>
      </c>
      <c r="N80" s="22" t="s">
        <v>318</v>
      </c>
      <c r="O80" s="12" t="s">
        <v>319</v>
      </c>
      <c r="P80" s="14" t="s">
        <v>320</v>
      </c>
      <c r="Q80" s="12" t="s">
        <v>232</v>
      </c>
      <c r="R80" s="15" t="s">
        <v>321</v>
      </c>
      <c r="S80" s="22" t="s">
        <v>322</v>
      </c>
      <c r="T80" s="22" t="s">
        <v>504</v>
      </c>
      <c r="U80" s="22" t="s">
        <v>485</v>
      </c>
    </row>
    <row r="81" spans="1:21">
      <c r="A81" s="12" t="s">
        <v>498</v>
      </c>
      <c r="B81" s="12" t="s">
        <v>499</v>
      </c>
      <c r="C81" s="12" t="s">
        <v>505</v>
      </c>
      <c r="D81" s="12" t="s">
        <v>314</v>
      </c>
      <c r="E81" s="23">
        <v>45918</v>
      </c>
      <c r="F81" s="24">
        <v>526777</v>
      </c>
      <c r="G81" s="12" t="s">
        <v>316</v>
      </c>
      <c r="H81" s="14" t="s">
        <v>317</v>
      </c>
      <c r="I81" s="24">
        <v>446420.83</v>
      </c>
      <c r="J81" s="24">
        <v>80355.78</v>
      </c>
      <c r="K81" s="24">
        <v>0</v>
      </c>
      <c r="L81" s="24">
        <v>0</v>
      </c>
      <c r="M81" s="24">
        <v>0</v>
      </c>
      <c r="N81" s="22" t="s">
        <v>318</v>
      </c>
      <c r="O81" s="12" t="s">
        <v>319</v>
      </c>
      <c r="P81" s="14" t="s">
        <v>320</v>
      </c>
      <c r="Q81" s="12" t="s">
        <v>232</v>
      </c>
      <c r="R81" s="15" t="s">
        <v>321</v>
      </c>
      <c r="S81" s="22" t="s">
        <v>322</v>
      </c>
      <c r="T81" s="22" t="s">
        <v>506</v>
      </c>
      <c r="U81" s="22" t="s">
        <v>335</v>
      </c>
    </row>
    <row r="82" spans="1:21">
      <c r="A82" s="12" t="s">
        <v>498</v>
      </c>
      <c r="B82" s="12" t="s">
        <v>499</v>
      </c>
      <c r="C82" s="12" t="s">
        <v>507</v>
      </c>
      <c r="D82" s="12" t="s">
        <v>314</v>
      </c>
      <c r="E82" s="23">
        <v>45918</v>
      </c>
      <c r="F82" s="24">
        <v>61139</v>
      </c>
      <c r="G82" s="12" t="s">
        <v>316</v>
      </c>
      <c r="H82" s="14" t="s">
        <v>317</v>
      </c>
      <c r="I82" s="24">
        <v>51813</v>
      </c>
      <c r="J82" s="24">
        <v>9326.34</v>
      </c>
      <c r="K82" s="24">
        <v>0</v>
      </c>
      <c r="L82" s="24">
        <v>0</v>
      </c>
      <c r="M82" s="24">
        <v>0</v>
      </c>
      <c r="N82" s="22" t="s">
        <v>318</v>
      </c>
      <c r="O82" s="12" t="s">
        <v>319</v>
      </c>
      <c r="P82" s="14" t="s">
        <v>320</v>
      </c>
      <c r="Q82" s="12" t="s">
        <v>232</v>
      </c>
      <c r="R82" s="15" t="s">
        <v>321</v>
      </c>
      <c r="S82" s="22" t="s">
        <v>322</v>
      </c>
      <c r="T82" s="22" t="s">
        <v>508</v>
      </c>
      <c r="U82" s="22" t="s">
        <v>335</v>
      </c>
    </row>
    <row r="83" spans="1:21">
      <c r="A83" s="12" t="s">
        <v>498</v>
      </c>
      <c r="B83" s="12" t="s">
        <v>499</v>
      </c>
      <c r="C83" s="12" t="s">
        <v>509</v>
      </c>
      <c r="D83" s="12" t="s">
        <v>314</v>
      </c>
      <c r="E83" s="23">
        <v>45918</v>
      </c>
      <c r="F83" s="24">
        <v>37005</v>
      </c>
      <c r="G83" s="12" t="s">
        <v>316</v>
      </c>
      <c r="H83" s="14" t="s">
        <v>317</v>
      </c>
      <c r="I83" s="24">
        <v>31360.51</v>
      </c>
      <c r="J83" s="24">
        <v>5644.89</v>
      </c>
      <c r="K83" s="24">
        <v>0</v>
      </c>
      <c r="L83" s="24">
        <v>0</v>
      </c>
      <c r="M83" s="24">
        <v>0</v>
      </c>
      <c r="N83" s="22" t="s">
        <v>318</v>
      </c>
      <c r="O83" s="12" t="s">
        <v>319</v>
      </c>
      <c r="P83" s="14" t="s">
        <v>320</v>
      </c>
      <c r="Q83" s="12" t="s">
        <v>232</v>
      </c>
      <c r="R83" s="15" t="s">
        <v>321</v>
      </c>
      <c r="S83" s="22" t="s">
        <v>322</v>
      </c>
      <c r="T83" s="22" t="s">
        <v>510</v>
      </c>
      <c r="U83" s="22" t="s">
        <v>335</v>
      </c>
    </row>
    <row r="84" spans="1:21">
      <c r="A84" s="12" t="s">
        <v>498</v>
      </c>
      <c r="B84" s="12" t="s">
        <v>499</v>
      </c>
      <c r="C84" s="12" t="s">
        <v>511</v>
      </c>
      <c r="D84" s="12" t="s">
        <v>314</v>
      </c>
      <c r="E84" s="23">
        <v>45922</v>
      </c>
      <c r="F84" s="24">
        <v>825865</v>
      </c>
      <c r="G84" s="12" t="s">
        <v>316</v>
      </c>
      <c r="H84" s="14" t="s">
        <v>317</v>
      </c>
      <c r="I84" s="24">
        <v>699885.56</v>
      </c>
      <c r="J84" s="24">
        <v>125979.4</v>
      </c>
      <c r="K84" s="24">
        <v>0</v>
      </c>
      <c r="L84" s="24">
        <v>0</v>
      </c>
      <c r="M84" s="24">
        <v>0</v>
      </c>
      <c r="N84" s="22" t="s">
        <v>318</v>
      </c>
      <c r="O84" s="12" t="s">
        <v>319</v>
      </c>
      <c r="P84" s="14" t="s">
        <v>320</v>
      </c>
      <c r="Q84" s="12" t="s">
        <v>232</v>
      </c>
      <c r="R84" s="15" t="s">
        <v>321</v>
      </c>
      <c r="S84" s="22" t="s">
        <v>322</v>
      </c>
      <c r="T84" s="22" t="s">
        <v>513</v>
      </c>
      <c r="U84" s="22" t="s">
        <v>512</v>
      </c>
    </row>
    <row r="85" spans="1:21">
      <c r="A85" s="12" t="s">
        <v>498</v>
      </c>
      <c r="B85" s="12" t="s">
        <v>499</v>
      </c>
      <c r="C85" s="12" t="s">
        <v>514</v>
      </c>
      <c r="D85" s="12" t="s">
        <v>314</v>
      </c>
      <c r="E85" s="23">
        <v>45929</v>
      </c>
      <c r="F85" s="24">
        <v>487834</v>
      </c>
      <c r="G85" s="12" t="s">
        <v>316</v>
      </c>
      <c r="H85" s="14" t="s">
        <v>317</v>
      </c>
      <c r="I85" s="24">
        <v>413418.98</v>
      </c>
      <c r="J85" s="24">
        <v>74415.41</v>
      </c>
      <c r="K85" s="24">
        <v>0</v>
      </c>
      <c r="L85" s="24">
        <v>0</v>
      </c>
      <c r="M85" s="24">
        <v>0</v>
      </c>
      <c r="N85" s="22" t="s">
        <v>318</v>
      </c>
      <c r="O85" s="12" t="s">
        <v>319</v>
      </c>
      <c r="P85" s="14" t="s">
        <v>320</v>
      </c>
      <c r="Q85" s="12" t="s">
        <v>232</v>
      </c>
      <c r="R85" s="15" t="s">
        <v>321</v>
      </c>
      <c r="S85" s="22" t="s">
        <v>322</v>
      </c>
      <c r="T85" s="22" t="s">
        <v>515</v>
      </c>
      <c r="U85" s="22" t="s">
        <v>423</v>
      </c>
    </row>
    <row r="86" spans="1:21">
      <c r="A86" s="12" t="s">
        <v>498</v>
      </c>
      <c r="B86" s="12" t="s">
        <v>499</v>
      </c>
      <c r="C86" s="12" t="s">
        <v>516</v>
      </c>
      <c r="D86" s="12" t="s">
        <v>314</v>
      </c>
      <c r="E86" s="23">
        <v>45929</v>
      </c>
      <c r="F86" s="24">
        <v>414914</v>
      </c>
      <c r="G86" s="12" t="s">
        <v>316</v>
      </c>
      <c r="H86" s="14" t="s">
        <v>317</v>
      </c>
      <c r="I86" s="24">
        <v>351622.2</v>
      </c>
      <c r="J86" s="24">
        <v>63292</v>
      </c>
      <c r="K86" s="24">
        <v>0</v>
      </c>
      <c r="L86" s="24">
        <v>0</v>
      </c>
      <c r="M86" s="24">
        <v>0</v>
      </c>
      <c r="N86" s="22" t="s">
        <v>318</v>
      </c>
      <c r="O86" s="12" t="s">
        <v>319</v>
      </c>
      <c r="P86" s="14" t="s">
        <v>320</v>
      </c>
      <c r="Q86" s="12" t="s">
        <v>232</v>
      </c>
      <c r="R86" s="15" t="s">
        <v>321</v>
      </c>
      <c r="S86" s="22" t="s">
        <v>322</v>
      </c>
      <c r="T86" s="22" t="s">
        <v>517</v>
      </c>
      <c r="U86" s="22" t="s">
        <v>423</v>
      </c>
    </row>
    <row r="87" spans="1:21">
      <c r="A87" s="12" t="s">
        <v>498</v>
      </c>
      <c r="B87" s="12" t="s">
        <v>499</v>
      </c>
      <c r="C87" s="12" t="s">
        <v>518</v>
      </c>
      <c r="D87" s="12" t="s">
        <v>314</v>
      </c>
      <c r="E87" s="23">
        <v>45929</v>
      </c>
      <c r="F87" s="24">
        <v>74240</v>
      </c>
      <c r="G87" s="12" t="s">
        <v>316</v>
      </c>
      <c r="H87" s="14" t="s">
        <v>317</v>
      </c>
      <c r="I87" s="24">
        <v>62915.57</v>
      </c>
      <c r="J87" s="24">
        <v>11324.81</v>
      </c>
      <c r="K87" s="24">
        <v>0</v>
      </c>
      <c r="L87" s="24">
        <v>0</v>
      </c>
      <c r="M87" s="24">
        <v>0</v>
      </c>
      <c r="N87" s="22" t="s">
        <v>318</v>
      </c>
      <c r="O87" s="12" t="s">
        <v>319</v>
      </c>
      <c r="P87" s="14" t="s">
        <v>320</v>
      </c>
      <c r="Q87" s="12" t="s">
        <v>232</v>
      </c>
      <c r="R87" s="15" t="s">
        <v>321</v>
      </c>
      <c r="S87" s="22" t="s">
        <v>322</v>
      </c>
      <c r="T87" s="22" t="s">
        <v>519</v>
      </c>
      <c r="U87" s="22" t="s">
        <v>423</v>
      </c>
    </row>
    <row r="88" spans="1:21">
      <c r="A88" s="12" t="s">
        <v>520</v>
      </c>
      <c r="B88" s="12" t="s">
        <v>521</v>
      </c>
      <c r="C88" s="12" t="s">
        <v>522</v>
      </c>
      <c r="D88" s="12" t="s">
        <v>314</v>
      </c>
      <c r="E88" s="23">
        <v>45920</v>
      </c>
      <c r="F88" s="24">
        <v>164026</v>
      </c>
      <c r="G88" s="12" t="s">
        <v>316</v>
      </c>
      <c r="H88" s="14" t="s">
        <v>317</v>
      </c>
      <c r="I88" s="24">
        <v>139004.78</v>
      </c>
      <c r="J88" s="24">
        <v>0</v>
      </c>
      <c r="K88" s="24">
        <v>12510.43</v>
      </c>
      <c r="L88" s="24">
        <v>12510.43</v>
      </c>
      <c r="M88" s="24">
        <v>0</v>
      </c>
      <c r="N88" s="22" t="s">
        <v>318</v>
      </c>
      <c r="O88" s="12" t="s">
        <v>328</v>
      </c>
      <c r="P88" s="14" t="s">
        <v>320</v>
      </c>
      <c r="Q88" s="12" t="s">
        <v>232</v>
      </c>
      <c r="R88" s="15" t="s">
        <v>321</v>
      </c>
      <c r="S88" s="22" t="s">
        <v>322</v>
      </c>
      <c r="T88" s="22" t="s">
        <v>523</v>
      </c>
      <c r="U88" s="22" t="s">
        <v>451</v>
      </c>
    </row>
    <row r="89" spans="1:21">
      <c r="A89" s="12" t="s">
        <v>524</v>
      </c>
      <c r="B89" s="12" t="s">
        <v>525</v>
      </c>
      <c r="C89" s="12" t="s">
        <v>526</v>
      </c>
      <c r="D89" s="12" t="s">
        <v>314</v>
      </c>
      <c r="E89" s="23">
        <v>45903</v>
      </c>
      <c r="F89" s="24">
        <v>126651</v>
      </c>
      <c r="G89" s="12" t="s">
        <v>316</v>
      </c>
      <c r="H89" s="14" t="s">
        <v>317</v>
      </c>
      <c r="I89" s="24">
        <v>107331.65</v>
      </c>
      <c r="J89" s="24">
        <v>0</v>
      </c>
      <c r="K89" s="24">
        <v>9659.85</v>
      </c>
      <c r="L89" s="24">
        <v>9659.85</v>
      </c>
      <c r="M89" s="24">
        <v>0</v>
      </c>
      <c r="N89" s="22" t="s">
        <v>318</v>
      </c>
      <c r="O89" s="12" t="s">
        <v>319</v>
      </c>
      <c r="P89" s="14" t="s">
        <v>320</v>
      </c>
      <c r="Q89" s="12" t="s">
        <v>232</v>
      </c>
      <c r="R89" s="15" t="s">
        <v>321</v>
      </c>
      <c r="S89" s="22" t="s">
        <v>322</v>
      </c>
      <c r="T89" s="22" t="s">
        <v>527</v>
      </c>
      <c r="U89" s="22" t="s">
        <v>370</v>
      </c>
    </row>
    <row r="90" spans="1:21">
      <c r="A90" s="12" t="s">
        <v>524</v>
      </c>
      <c r="B90" s="12" t="s">
        <v>525</v>
      </c>
      <c r="C90" s="12" t="s">
        <v>528</v>
      </c>
      <c r="D90" s="12" t="s">
        <v>314</v>
      </c>
      <c r="E90" s="23">
        <v>45903</v>
      </c>
      <c r="F90" s="24">
        <v>596923</v>
      </c>
      <c r="G90" s="12" t="s">
        <v>316</v>
      </c>
      <c r="H90" s="14" t="s">
        <v>317</v>
      </c>
      <c r="I90" s="24">
        <v>505866.57</v>
      </c>
      <c r="J90" s="24">
        <v>0</v>
      </c>
      <c r="K90" s="24">
        <v>45527.99</v>
      </c>
      <c r="L90" s="24">
        <v>45527.99</v>
      </c>
      <c r="M90" s="24">
        <v>0</v>
      </c>
      <c r="N90" s="22" t="s">
        <v>318</v>
      </c>
      <c r="O90" s="12" t="s">
        <v>319</v>
      </c>
      <c r="P90" s="14" t="s">
        <v>320</v>
      </c>
      <c r="Q90" s="12" t="s">
        <v>232</v>
      </c>
      <c r="R90" s="15" t="s">
        <v>321</v>
      </c>
      <c r="S90" s="22" t="s">
        <v>322</v>
      </c>
      <c r="T90" s="22" t="s">
        <v>529</v>
      </c>
      <c r="U90" s="22" t="s">
        <v>370</v>
      </c>
    </row>
    <row r="91" spans="1:21">
      <c r="A91" s="12" t="s">
        <v>524</v>
      </c>
      <c r="B91" s="12" t="s">
        <v>525</v>
      </c>
      <c r="C91" s="12" t="s">
        <v>530</v>
      </c>
      <c r="D91" s="12" t="s">
        <v>314</v>
      </c>
      <c r="E91" s="23">
        <v>45903</v>
      </c>
      <c r="F91" s="24">
        <v>192128</v>
      </c>
      <c r="G91" s="12" t="s">
        <v>316</v>
      </c>
      <c r="H91" s="14" t="s">
        <v>317</v>
      </c>
      <c r="I91" s="24">
        <v>162820</v>
      </c>
      <c r="J91" s="24">
        <v>0</v>
      </c>
      <c r="K91" s="24">
        <v>14653.8</v>
      </c>
      <c r="L91" s="24">
        <v>14653.8</v>
      </c>
      <c r="M91" s="24">
        <v>0</v>
      </c>
      <c r="N91" s="22" t="s">
        <v>318</v>
      </c>
      <c r="O91" s="12" t="s">
        <v>319</v>
      </c>
      <c r="P91" s="14" t="s">
        <v>320</v>
      </c>
      <c r="Q91" s="12" t="s">
        <v>232</v>
      </c>
      <c r="R91" s="15" t="s">
        <v>321</v>
      </c>
      <c r="S91" s="22" t="s">
        <v>322</v>
      </c>
      <c r="T91" s="22" t="s">
        <v>531</v>
      </c>
      <c r="U91" s="22" t="s">
        <v>370</v>
      </c>
    </row>
    <row r="92" spans="1:21">
      <c r="A92" s="12" t="s">
        <v>524</v>
      </c>
      <c r="B92" s="12" t="s">
        <v>525</v>
      </c>
      <c r="C92" s="12" t="s">
        <v>532</v>
      </c>
      <c r="D92" s="12" t="s">
        <v>314</v>
      </c>
      <c r="E92" s="23">
        <v>45909</v>
      </c>
      <c r="F92" s="24">
        <v>28421</v>
      </c>
      <c r="G92" s="12" t="s">
        <v>316</v>
      </c>
      <c r="H92" s="14" t="s">
        <v>317</v>
      </c>
      <c r="I92" s="24">
        <v>24086</v>
      </c>
      <c r="J92" s="24">
        <v>0</v>
      </c>
      <c r="K92" s="24">
        <v>2167.7399999999998</v>
      </c>
      <c r="L92" s="24">
        <v>2167.7399999999998</v>
      </c>
      <c r="M92" s="24">
        <v>0</v>
      </c>
      <c r="N92" s="22" t="s">
        <v>318</v>
      </c>
      <c r="O92" s="12" t="s">
        <v>319</v>
      </c>
      <c r="P92" s="14" t="s">
        <v>320</v>
      </c>
      <c r="Q92" s="12" t="s">
        <v>232</v>
      </c>
      <c r="R92" s="15" t="s">
        <v>321</v>
      </c>
      <c r="S92" s="22" t="s">
        <v>322</v>
      </c>
      <c r="T92" s="22" t="s">
        <v>533</v>
      </c>
      <c r="U92" s="22" t="s">
        <v>315</v>
      </c>
    </row>
    <row r="93" spans="1:21">
      <c r="A93" s="12" t="s">
        <v>524</v>
      </c>
      <c r="B93" s="12" t="s">
        <v>525</v>
      </c>
      <c r="C93" s="12" t="s">
        <v>534</v>
      </c>
      <c r="D93" s="12" t="s">
        <v>314</v>
      </c>
      <c r="E93" s="23">
        <v>45917</v>
      </c>
      <c r="F93" s="24">
        <v>101137</v>
      </c>
      <c r="G93" s="12" t="s">
        <v>316</v>
      </c>
      <c r="H93" s="14" t="s">
        <v>317</v>
      </c>
      <c r="I93" s="24">
        <v>85709</v>
      </c>
      <c r="J93" s="24">
        <v>0</v>
      </c>
      <c r="K93" s="24">
        <v>7713.81</v>
      </c>
      <c r="L93" s="24">
        <v>7713.81</v>
      </c>
      <c r="M93" s="24">
        <v>0</v>
      </c>
      <c r="N93" s="22" t="s">
        <v>318</v>
      </c>
      <c r="O93" s="12" t="s">
        <v>319</v>
      </c>
      <c r="P93" s="14" t="s">
        <v>320</v>
      </c>
      <c r="Q93" s="12" t="s">
        <v>232</v>
      </c>
      <c r="R93" s="15" t="s">
        <v>321</v>
      </c>
      <c r="S93" s="22" t="s">
        <v>322</v>
      </c>
      <c r="T93" s="22" t="s">
        <v>535</v>
      </c>
      <c r="U93" s="22" t="s">
        <v>449</v>
      </c>
    </row>
    <row r="94" spans="1:21">
      <c r="A94" s="12" t="s">
        <v>536</v>
      </c>
      <c r="B94" s="12" t="s">
        <v>537</v>
      </c>
      <c r="C94" s="12" t="s">
        <v>538</v>
      </c>
      <c r="D94" s="12" t="s">
        <v>314</v>
      </c>
      <c r="E94" s="23">
        <v>45921</v>
      </c>
      <c r="F94" s="24">
        <v>119840</v>
      </c>
      <c r="G94" s="12" t="s">
        <v>316</v>
      </c>
      <c r="H94" s="14" t="s">
        <v>317</v>
      </c>
      <c r="I94" s="24">
        <v>107000</v>
      </c>
      <c r="J94" s="24">
        <v>12840</v>
      </c>
      <c r="K94" s="24">
        <v>0</v>
      </c>
      <c r="L94" s="24">
        <v>0</v>
      </c>
      <c r="M94" s="24">
        <v>0</v>
      </c>
      <c r="N94" s="22" t="s">
        <v>318</v>
      </c>
      <c r="O94" s="12" t="s">
        <v>319</v>
      </c>
      <c r="P94" s="14" t="s">
        <v>320</v>
      </c>
      <c r="Q94" s="12" t="s">
        <v>232</v>
      </c>
      <c r="R94" s="15" t="s">
        <v>321</v>
      </c>
      <c r="S94" s="22" t="s">
        <v>322</v>
      </c>
      <c r="T94" s="22" t="s">
        <v>539</v>
      </c>
      <c r="U94" s="22" t="s">
        <v>338</v>
      </c>
    </row>
    <row r="95" spans="1:21">
      <c r="A95" s="12" t="s">
        <v>536</v>
      </c>
      <c r="B95" s="12" t="s">
        <v>537</v>
      </c>
      <c r="C95" s="12" t="s">
        <v>540</v>
      </c>
      <c r="D95" s="12" t="s">
        <v>314</v>
      </c>
      <c r="E95" s="23">
        <v>45921</v>
      </c>
      <c r="F95" s="24">
        <v>119840</v>
      </c>
      <c r="G95" s="12" t="s">
        <v>316</v>
      </c>
      <c r="H95" s="14" t="s">
        <v>317</v>
      </c>
      <c r="I95" s="24">
        <v>107000</v>
      </c>
      <c r="J95" s="24">
        <v>12840</v>
      </c>
      <c r="K95" s="24">
        <v>0</v>
      </c>
      <c r="L95" s="24">
        <v>0</v>
      </c>
      <c r="M95" s="24">
        <v>0</v>
      </c>
      <c r="N95" s="22" t="s">
        <v>318</v>
      </c>
      <c r="O95" s="12" t="s">
        <v>319</v>
      </c>
      <c r="P95" s="14" t="s">
        <v>320</v>
      </c>
      <c r="Q95" s="12" t="s">
        <v>232</v>
      </c>
      <c r="R95" s="15" t="s">
        <v>321</v>
      </c>
      <c r="S95" s="22" t="s">
        <v>322</v>
      </c>
      <c r="T95" s="22" t="s">
        <v>541</v>
      </c>
      <c r="U95" s="22" t="s">
        <v>338</v>
      </c>
    </row>
    <row r="96" spans="1:21">
      <c r="A96" s="12" t="s">
        <v>536</v>
      </c>
      <c r="B96" s="12" t="s">
        <v>537</v>
      </c>
      <c r="C96" s="12" t="s">
        <v>542</v>
      </c>
      <c r="D96" s="12" t="s">
        <v>314</v>
      </c>
      <c r="E96" s="23">
        <v>45921</v>
      </c>
      <c r="F96" s="24">
        <v>119840</v>
      </c>
      <c r="G96" s="12" t="s">
        <v>316</v>
      </c>
      <c r="H96" s="14" t="s">
        <v>317</v>
      </c>
      <c r="I96" s="24">
        <v>107000</v>
      </c>
      <c r="J96" s="24">
        <v>12840</v>
      </c>
      <c r="K96" s="24">
        <v>0</v>
      </c>
      <c r="L96" s="24">
        <v>0</v>
      </c>
      <c r="M96" s="24">
        <v>0</v>
      </c>
      <c r="N96" s="22" t="s">
        <v>318</v>
      </c>
      <c r="O96" s="12" t="s">
        <v>319</v>
      </c>
      <c r="P96" s="14" t="s">
        <v>320</v>
      </c>
      <c r="Q96" s="12" t="s">
        <v>232</v>
      </c>
      <c r="R96" s="15" t="s">
        <v>321</v>
      </c>
      <c r="S96" s="22" t="s">
        <v>322</v>
      </c>
      <c r="T96" s="22" t="s">
        <v>543</v>
      </c>
      <c r="U96" s="22" t="s">
        <v>338</v>
      </c>
    </row>
    <row r="97" spans="1:21">
      <c r="A97" s="12" t="s">
        <v>544</v>
      </c>
      <c r="B97" s="12" t="s">
        <v>545</v>
      </c>
      <c r="C97" s="12" t="s">
        <v>546</v>
      </c>
      <c r="D97" s="12" t="s">
        <v>314</v>
      </c>
      <c r="E97" s="23">
        <v>45929</v>
      </c>
      <c r="F97" s="24">
        <v>123080</v>
      </c>
      <c r="G97" s="12" t="s">
        <v>316</v>
      </c>
      <c r="H97" s="14" t="s">
        <v>317</v>
      </c>
      <c r="I97" s="24">
        <v>104305</v>
      </c>
      <c r="J97" s="24">
        <v>0</v>
      </c>
      <c r="K97" s="24">
        <v>9387.4500000000007</v>
      </c>
      <c r="L97" s="24">
        <v>9387.4500000000007</v>
      </c>
      <c r="M97" s="24">
        <v>0</v>
      </c>
      <c r="N97" s="22" t="s">
        <v>318</v>
      </c>
      <c r="O97" s="12" t="s">
        <v>319</v>
      </c>
      <c r="P97" s="14" t="s">
        <v>320</v>
      </c>
      <c r="Q97" s="12" t="s">
        <v>232</v>
      </c>
      <c r="R97" s="15" t="s">
        <v>321</v>
      </c>
      <c r="S97" s="22" t="s">
        <v>322</v>
      </c>
      <c r="T97" s="22" t="s">
        <v>547</v>
      </c>
      <c r="U97" s="22" t="s">
        <v>389</v>
      </c>
    </row>
    <row r="98" spans="1:21">
      <c r="A98" s="12" t="s">
        <v>544</v>
      </c>
      <c r="B98" s="12" t="s">
        <v>545</v>
      </c>
      <c r="C98" s="12" t="s">
        <v>548</v>
      </c>
      <c r="D98" s="12" t="s">
        <v>314</v>
      </c>
      <c r="E98" s="23">
        <v>45930</v>
      </c>
      <c r="F98" s="24">
        <v>17623</v>
      </c>
      <c r="G98" s="12" t="s">
        <v>316</v>
      </c>
      <c r="H98" s="14" t="s">
        <v>317</v>
      </c>
      <c r="I98" s="24">
        <v>14935</v>
      </c>
      <c r="J98" s="24">
        <v>0</v>
      </c>
      <c r="K98" s="24">
        <v>1344.15</v>
      </c>
      <c r="L98" s="24">
        <v>1344.15</v>
      </c>
      <c r="M98" s="24">
        <v>0</v>
      </c>
      <c r="N98" s="22" t="s">
        <v>318</v>
      </c>
      <c r="O98" s="12" t="s">
        <v>319</v>
      </c>
      <c r="P98" s="14" t="s">
        <v>320</v>
      </c>
      <c r="Q98" s="12" t="s">
        <v>232</v>
      </c>
      <c r="R98" s="15" t="s">
        <v>321</v>
      </c>
      <c r="S98" s="22" t="s">
        <v>322</v>
      </c>
      <c r="T98" s="22" t="s">
        <v>549</v>
      </c>
      <c r="U98" s="22" t="s">
        <v>423</v>
      </c>
    </row>
    <row r="99" spans="1:21">
      <c r="A99" s="12" t="s">
        <v>550</v>
      </c>
      <c r="B99" s="12" t="s">
        <v>551</v>
      </c>
      <c r="C99" s="12" t="s">
        <v>552</v>
      </c>
      <c r="D99" s="12" t="s">
        <v>314</v>
      </c>
      <c r="E99" s="23">
        <v>45842</v>
      </c>
      <c r="F99" s="24">
        <v>9200</v>
      </c>
      <c r="G99" s="12" t="s">
        <v>316</v>
      </c>
      <c r="H99" s="14" t="s">
        <v>317</v>
      </c>
      <c r="I99" s="24">
        <v>7796.6</v>
      </c>
      <c r="J99" s="24">
        <v>0</v>
      </c>
      <c r="K99" s="24">
        <v>701.69</v>
      </c>
      <c r="L99" s="24">
        <v>701.69</v>
      </c>
      <c r="M99" s="24">
        <v>0</v>
      </c>
      <c r="N99" s="22" t="s">
        <v>411</v>
      </c>
      <c r="O99" s="12" t="s">
        <v>335</v>
      </c>
      <c r="P99" s="14" t="s">
        <v>320</v>
      </c>
      <c r="Q99" s="12" t="s">
        <v>232</v>
      </c>
      <c r="R99" s="15" t="s">
        <v>321</v>
      </c>
      <c r="S99" s="22" t="s">
        <v>232</v>
      </c>
      <c r="T99" s="22" t="s">
        <v>232</v>
      </c>
      <c r="U99" s="22" t="s">
        <v>232</v>
      </c>
    </row>
    <row r="100" spans="1:21">
      <c r="A100" s="12" t="s">
        <v>550</v>
      </c>
      <c r="B100" s="12" t="s">
        <v>551</v>
      </c>
      <c r="C100" s="12" t="s">
        <v>553</v>
      </c>
      <c r="D100" s="12" t="s">
        <v>314</v>
      </c>
      <c r="E100" s="23">
        <v>45846</v>
      </c>
      <c r="F100" s="24">
        <v>9200</v>
      </c>
      <c r="G100" s="12" t="s">
        <v>316</v>
      </c>
      <c r="H100" s="14" t="s">
        <v>317</v>
      </c>
      <c r="I100" s="24">
        <v>7796.6</v>
      </c>
      <c r="J100" s="24">
        <v>0</v>
      </c>
      <c r="K100" s="24">
        <v>701.69</v>
      </c>
      <c r="L100" s="24">
        <v>701.69</v>
      </c>
      <c r="M100" s="24">
        <v>0</v>
      </c>
      <c r="N100" s="22" t="s">
        <v>411</v>
      </c>
      <c r="O100" s="12" t="s">
        <v>335</v>
      </c>
      <c r="P100" s="14" t="s">
        <v>320</v>
      </c>
      <c r="Q100" s="12" t="s">
        <v>232</v>
      </c>
      <c r="R100" s="15" t="s">
        <v>321</v>
      </c>
      <c r="S100" s="22" t="s">
        <v>232</v>
      </c>
      <c r="T100" s="22" t="s">
        <v>232</v>
      </c>
      <c r="U100" s="22" t="s">
        <v>232</v>
      </c>
    </row>
    <row r="101" spans="1:21">
      <c r="A101" s="12" t="s">
        <v>554</v>
      </c>
      <c r="B101" s="12" t="s">
        <v>555</v>
      </c>
      <c r="C101" s="12" t="s">
        <v>556</v>
      </c>
      <c r="D101" s="12" t="s">
        <v>314</v>
      </c>
      <c r="E101" s="23">
        <v>45922</v>
      </c>
      <c r="F101" s="24">
        <v>45586</v>
      </c>
      <c r="G101" s="12" t="s">
        <v>316</v>
      </c>
      <c r="H101" s="14" t="s">
        <v>317</v>
      </c>
      <c r="I101" s="24">
        <v>38632.160000000003</v>
      </c>
      <c r="J101" s="24">
        <v>0</v>
      </c>
      <c r="K101" s="24">
        <v>3476.89</v>
      </c>
      <c r="L101" s="24">
        <v>3476.89</v>
      </c>
      <c r="M101" s="24">
        <v>0</v>
      </c>
      <c r="N101" s="22" t="s">
        <v>318</v>
      </c>
      <c r="O101" s="12" t="s">
        <v>384</v>
      </c>
      <c r="P101" s="14" t="s">
        <v>320</v>
      </c>
      <c r="Q101" s="12" t="s">
        <v>232</v>
      </c>
      <c r="R101" s="15" t="s">
        <v>321</v>
      </c>
      <c r="S101" s="22" t="s">
        <v>232</v>
      </c>
      <c r="T101" s="22" t="s">
        <v>232</v>
      </c>
      <c r="U101" s="22" t="s">
        <v>232</v>
      </c>
    </row>
    <row r="102" spans="1:21">
      <c r="A102" s="12" t="s">
        <v>554</v>
      </c>
      <c r="B102" s="12" t="s">
        <v>555</v>
      </c>
      <c r="C102" s="12" t="s">
        <v>557</v>
      </c>
      <c r="D102" s="12" t="s">
        <v>314</v>
      </c>
      <c r="E102" s="23">
        <v>45922</v>
      </c>
      <c r="F102" s="24">
        <v>14981</v>
      </c>
      <c r="G102" s="12" t="s">
        <v>316</v>
      </c>
      <c r="H102" s="14" t="s">
        <v>317</v>
      </c>
      <c r="I102" s="24">
        <v>12695.76</v>
      </c>
      <c r="J102" s="24">
        <v>0</v>
      </c>
      <c r="K102" s="24">
        <v>1142.6199999999999</v>
      </c>
      <c r="L102" s="24">
        <v>1142.6199999999999</v>
      </c>
      <c r="M102" s="24">
        <v>0</v>
      </c>
      <c r="N102" s="22" t="s">
        <v>318</v>
      </c>
      <c r="O102" s="12" t="s">
        <v>384</v>
      </c>
      <c r="P102" s="14" t="s">
        <v>320</v>
      </c>
      <c r="Q102" s="12" t="s">
        <v>232</v>
      </c>
      <c r="R102" s="15" t="s">
        <v>321</v>
      </c>
      <c r="S102" s="22" t="s">
        <v>232</v>
      </c>
      <c r="T102" s="22" t="s">
        <v>232</v>
      </c>
      <c r="U102" s="22" t="s">
        <v>232</v>
      </c>
    </row>
    <row r="103" spans="1:21">
      <c r="A103" s="12" t="s">
        <v>558</v>
      </c>
      <c r="B103" s="12" t="s">
        <v>559</v>
      </c>
      <c r="C103" s="12" t="s">
        <v>560</v>
      </c>
      <c r="D103" s="12" t="s">
        <v>314</v>
      </c>
      <c r="E103" s="23">
        <v>45919</v>
      </c>
      <c r="F103" s="24">
        <v>1410</v>
      </c>
      <c r="G103" s="12" t="s">
        <v>316</v>
      </c>
      <c r="H103" s="14" t="s">
        <v>317</v>
      </c>
      <c r="I103" s="24">
        <v>1194.92</v>
      </c>
      <c r="J103" s="24">
        <v>0</v>
      </c>
      <c r="K103" s="24">
        <v>107.54</v>
      </c>
      <c r="L103" s="24">
        <v>107.54</v>
      </c>
      <c r="M103" s="24">
        <v>0</v>
      </c>
      <c r="N103" s="22" t="s">
        <v>318</v>
      </c>
      <c r="O103" s="12" t="s">
        <v>384</v>
      </c>
      <c r="P103" s="14" t="s">
        <v>320</v>
      </c>
      <c r="Q103" s="12" t="s">
        <v>232</v>
      </c>
      <c r="R103" s="15" t="s">
        <v>321</v>
      </c>
      <c r="S103" s="22" t="s">
        <v>322</v>
      </c>
      <c r="T103" s="22" t="s">
        <v>561</v>
      </c>
      <c r="U103" s="22" t="s">
        <v>380</v>
      </c>
    </row>
    <row r="104" spans="1:21">
      <c r="A104" s="12" t="s">
        <v>562</v>
      </c>
      <c r="B104" s="12" t="s">
        <v>563</v>
      </c>
      <c r="C104" s="12" t="s">
        <v>564</v>
      </c>
      <c r="D104" s="12" t="s">
        <v>314</v>
      </c>
      <c r="E104" s="23">
        <v>45912</v>
      </c>
      <c r="F104" s="24">
        <v>121658.8</v>
      </c>
      <c r="G104" s="12" t="s">
        <v>316</v>
      </c>
      <c r="H104" s="14" t="s">
        <v>317</v>
      </c>
      <c r="I104" s="24">
        <v>103100.68</v>
      </c>
      <c r="J104" s="24">
        <v>18558.12</v>
      </c>
      <c r="K104" s="24">
        <v>0</v>
      </c>
      <c r="L104" s="24">
        <v>0</v>
      </c>
      <c r="M104" s="24">
        <v>0</v>
      </c>
      <c r="N104" s="22" t="s">
        <v>318</v>
      </c>
      <c r="O104" s="12" t="s">
        <v>319</v>
      </c>
      <c r="P104" s="14" t="s">
        <v>320</v>
      </c>
      <c r="Q104" s="12" t="s">
        <v>232</v>
      </c>
      <c r="R104" s="15" t="s">
        <v>321</v>
      </c>
      <c r="S104" s="22" t="s">
        <v>232</v>
      </c>
      <c r="T104" s="22" t="s">
        <v>232</v>
      </c>
      <c r="U104" s="22" t="s">
        <v>232</v>
      </c>
    </row>
    <row r="105" spans="1:21">
      <c r="A105" s="12" t="s">
        <v>562</v>
      </c>
      <c r="B105" s="12" t="s">
        <v>563</v>
      </c>
      <c r="C105" s="12" t="s">
        <v>565</v>
      </c>
      <c r="D105" s="12" t="s">
        <v>314</v>
      </c>
      <c r="E105" s="23">
        <v>45912</v>
      </c>
      <c r="F105" s="24">
        <v>152515.51999999999</v>
      </c>
      <c r="G105" s="12" t="s">
        <v>316</v>
      </c>
      <c r="H105" s="14" t="s">
        <v>317</v>
      </c>
      <c r="I105" s="24">
        <v>129250.44</v>
      </c>
      <c r="J105" s="24">
        <v>23265.08</v>
      </c>
      <c r="K105" s="24">
        <v>0</v>
      </c>
      <c r="L105" s="24">
        <v>0</v>
      </c>
      <c r="M105" s="24">
        <v>0</v>
      </c>
      <c r="N105" s="22" t="s">
        <v>318</v>
      </c>
      <c r="O105" s="12" t="s">
        <v>319</v>
      </c>
      <c r="P105" s="14" t="s">
        <v>320</v>
      </c>
      <c r="Q105" s="12" t="s">
        <v>232</v>
      </c>
      <c r="R105" s="15" t="s">
        <v>321</v>
      </c>
      <c r="S105" s="22" t="s">
        <v>232</v>
      </c>
      <c r="T105" s="22" t="s">
        <v>232</v>
      </c>
      <c r="U105" s="22" t="s">
        <v>232</v>
      </c>
    </row>
    <row r="106" spans="1:21">
      <c r="A106" s="12" t="s">
        <v>562</v>
      </c>
      <c r="B106" s="12" t="s">
        <v>563</v>
      </c>
      <c r="C106" s="12" t="s">
        <v>566</v>
      </c>
      <c r="D106" s="12" t="s">
        <v>314</v>
      </c>
      <c r="E106" s="23">
        <v>45912</v>
      </c>
      <c r="F106" s="24">
        <v>86963.38</v>
      </c>
      <c r="G106" s="12" t="s">
        <v>316</v>
      </c>
      <c r="H106" s="14" t="s">
        <v>317</v>
      </c>
      <c r="I106" s="24">
        <v>73697.78</v>
      </c>
      <c r="J106" s="24">
        <v>13265.6</v>
      </c>
      <c r="K106" s="24">
        <v>0</v>
      </c>
      <c r="L106" s="24">
        <v>0</v>
      </c>
      <c r="M106" s="24">
        <v>0</v>
      </c>
      <c r="N106" s="22" t="s">
        <v>318</v>
      </c>
      <c r="O106" s="12" t="s">
        <v>319</v>
      </c>
      <c r="P106" s="14" t="s">
        <v>320</v>
      </c>
      <c r="Q106" s="12" t="s">
        <v>232</v>
      </c>
      <c r="R106" s="15" t="s">
        <v>321</v>
      </c>
      <c r="S106" s="22" t="s">
        <v>232</v>
      </c>
      <c r="T106" s="22" t="s">
        <v>232</v>
      </c>
      <c r="U106" s="22" t="s">
        <v>232</v>
      </c>
    </row>
    <row r="107" spans="1:21">
      <c r="A107" s="12" t="s">
        <v>562</v>
      </c>
      <c r="B107" s="12" t="s">
        <v>563</v>
      </c>
      <c r="C107" s="12" t="s">
        <v>567</v>
      </c>
      <c r="D107" s="12" t="s">
        <v>314</v>
      </c>
      <c r="E107" s="23">
        <v>45912</v>
      </c>
      <c r="F107" s="24">
        <v>166307.4</v>
      </c>
      <c r="G107" s="12" t="s">
        <v>316</v>
      </c>
      <c r="H107" s="14" t="s">
        <v>317</v>
      </c>
      <c r="I107" s="24">
        <v>140938.47</v>
      </c>
      <c r="J107" s="24">
        <v>25368.93</v>
      </c>
      <c r="K107" s="24">
        <v>0</v>
      </c>
      <c r="L107" s="24">
        <v>0</v>
      </c>
      <c r="M107" s="24">
        <v>0</v>
      </c>
      <c r="N107" s="22" t="s">
        <v>318</v>
      </c>
      <c r="O107" s="12" t="s">
        <v>319</v>
      </c>
      <c r="P107" s="14" t="s">
        <v>320</v>
      </c>
      <c r="Q107" s="12" t="s">
        <v>232</v>
      </c>
      <c r="R107" s="15" t="s">
        <v>321</v>
      </c>
      <c r="S107" s="22" t="s">
        <v>232</v>
      </c>
      <c r="T107" s="22" t="s">
        <v>232</v>
      </c>
      <c r="U107" s="22" t="s">
        <v>232</v>
      </c>
    </row>
    <row r="108" spans="1:21">
      <c r="A108" s="12" t="s">
        <v>562</v>
      </c>
      <c r="B108" s="12" t="s">
        <v>563</v>
      </c>
      <c r="C108" s="12" t="s">
        <v>568</v>
      </c>
      <c r="D108" s="12" t="s">
        <v>314</v>
      </c>
      <c r="E108" s="23">
        <v>45920</v>
      </c>
      <c r="F108" s="24">
        <v>656178.39</v>
      </c>
      <c r="G108" s="12" t="s">
        <v>316</v>
      </c>
      <c r="H108" s="14" t="s">
        <v>317</v>
      </c>
      <c r="I108" s="24">
        <v>556083.38</v>
      </c>
      <c r="J108" s="24">
        <v>100095.01</v>
      </c>
      <c r="K108" s="24">
        <v>0</v>
      </c>
      <c r="L108" s="24">
        <v>0</v>
      </c>
      <c r="M108" s="24">
        <v>0</v>
      </c>
      <c r="N108" s="22" t="s">
        <v>318</v>
      </c>
      <c r="O108" s="12" t="s">
        <v>319</v>
      </c>
      <c r="P108" s="14" t="s">
        <v>320</v>
      </c>
      <c r="Q108" s="12" t="s">
        <v>232</v>
      </c>
      <c r="R108" s="15" t="s">
        <v>321</v>
      </c>
      <c r="S108" s="22" t="s">
        <v>232</v>
      </c>
      <c r="T108" s="22" t="s">
        <v>232</v>
      </c>
      <c r="U108" s="22" t="s">
        <v>232</v>
      </c>
    </row>
    <row r="109" spans="1:21">
      <c r="A109" s="12" t="s">
        <v>562</v>
      </c>
      <c r="B109" s="12" t="s">
        <v>563</v>
      </c>
      <c r="C109" s="12" t="s">
        <v>569</v>
      </c>
      <c r="D109" s="12" t="s">
        <v>314</v>
      </c>
      <c r="E109" s="23">
        <v>45926</v>
      </c>
      <c r="F109" s="24">
        <v>187424.63</v>
      </c>
      <c r="G109" s="12" t="s">
        <v>316</v>
      </c>
      <c r="H109" s="14" t="s">
        <v>317</v>
      </c>
      <c r="I109" s="24">
        <v>158834.43</v>
      </c>
      <c r="J109" s="24">
        <v>28590.2</v>
      </c>
      <c r="K109" s="24">
        <v>0</v>
      </c>
      <c r="L109" s="24">
        <v>0</v>
      </c>
      <c r="M109" s="24">
        <v>0</v>
      </c>
      <c r="N109" s="22" t="s">
        <v>318</v>
      </c>
      <c r="O109" s="12" t="s">
        <v>319</v>
      </c>
      <c r="P109" s="14" t="s">
        <v>320</v>
      </c>
      <c r="Q109" s="12" t="s">
        <v>232</v>
      </c>
      <c r="R109" s="15" t="s">
        <v>321</v>
      </c>
      <c r="S109" s="22" t="s">
        <v>232</v>
      </c>
      <c r="T109" s="22" t="s">
        <v>232</v>
      </c>
      <c r="U109" s="22" t="s">
        <v>232</v>
      </c>
    </row>
    <row r="110" spans="1:21">
      <c r="A110" s="12" t="s">
        <v>562</v>
      </c>
      <c r="B110" s="12" t="s">
        <v>563</v>
      </c>
      <c r="C110" s="12" t="s">
        <v>570</v>
      </c>
      <c r="D110" s="12" t="s">
        <v>314</v>
      </c>
      <c r="E110" s="23">
        <v>45926</v>
      </c>
      <c r="F110" s="24">
        <v>126133.17</v>
      </c>
      <c r="G110" s="12" t="s">
        <v>316</v>
      </c>
      <c r="H110" s="14" t="s">
        <v>317</v>
      </c>
      <c r="I110" s="24">
        <v>106892.52</v>
      </c>
      <c r="J110" s="24">
        <v>19240.650000000001</v>
      </c>
      <c r="K110" s="24">
        <v>0</v>
      </c>
      <c r="L110" s="24">
        <v>0</v>
      </c>
      <c r="M110" s="24">
        <v>0</v>
      </c>
      <c r="N110" s="22" t="s">
        <v>318</v>
      </c>
      <c r="O110" s="12" t="s">
        <v>319</v>
      </c>
      <c r="P110" s="14" t="s">
        <v>320</v>
      </c>
      <c r="Q110" s="12" t="s">
        <v>232</v>
      </c>
      <c r="R110" s="15" t="s">
        <v>321</v>
      </c>
      <c r="S110" s="22" t="s">
        <v>232</v>
      </c>
      <c r="T110" s="22" t="s">
        <v>232</v>
      </c>
      <c r="U110" s="22" t="s">
        <v>232</v>
      </c>
    </row>
    <row r="111" spans="1:21">
      <c r="A111" s="12" t="s">
        <v>562</v>
      </c>
      <c r="B111" s="12" t="s">
        <v>563</v>
      </c>
      <c r="C111" s="12" t="s">
        <v>571</v>
      </c>
      <c r="D111" s="12" t="s">
        <v>314</v>
      </c>
      <c r="E111" s="23">
        <v>45927</v>
      </c>
      <c r="F111" s="24">
        <v>135031.63</v>
      </c>
      <c r="G111" s="12" t="s">
        <v>316</v>
      </c>
      <c r="H111" s="14" t="s">
        <v>317</v>
      </c>
      <c r="I111" s="24">
        <v>114433.58</v>
      </c>
      <c r="J111" s="24">
        <v>20598.05</v>
      </c>
      <c r="K111" s="24">
        <v>0</v>
      </c>
      <c r="L111" s="24">
        <v>0</v>
      </c>
      <c r="M111" s="24">
        <v>0</v>
      </c>
      <c r="N111" s="22" t="s">
        <v>318</v>
      </c>
      <c r="O111" s="12" t="s">
        <v>319</v>
      </c>
      <c r="P111" s="14" t="s">
        <v>320</v>
      </c>
      <c r="Q111" s="12" t="s">
        <v>232</v>
      </c>
      <c r="R111" s="15" t="s">
        <v>321</v>
      </c>
      <c r="S111" s="22" t="s">
        <v>232</v>
      </c>
      <c r="T111" s="22" t="s">
        <v>232</v>
      </c>
      <c r="U111" s="22" t="s">
        <v>232</v>
      </c>
    </row>
    <row r="112" spans="1:21">
      <c r="A112" s="12" t="s">
        <v>562</v>
      </c>
      <c r="B112" s="12" t="s">
        <v>563</v>
      </c>
      <c r="C112" s="12" t="s">
        <v>572</v>
      </c>
      <c r="D112" s="12" t="s">
        <v>314</v>
      </c>
      <c r="E112" s="23">
        <v>45927</v>
      </c>
      <c r="F112" s="24">
        <v>74486.929999999993</v>
      </c>
      <c r="G112" s="12" t="s">
        <v>316</v>
      </c>
      <c r="H112" s="14" t="s">
        <v>317</v>
      </c>
      <c r="I112" s="24">
        <v>63124.52</v>
      </c>
      <c r="J112" s="24">
        <v>11362.41</v>
      </c>
      <c r="K112" s="24">
        <v>0</v>
      </c>
      <c r="L112" s="24">
        <v>0</v>
      </c>
      <c r="M112" s="24">
        <v>0</v>
      </c>
      <c r="N112" s="22" t="s">
        <v>318</v>
      </c>
      <c r="O112" s="12" t="s">
        <v>319</v>
      </c>
      <c r="P112" s="14" t="s">
        <v>320</v>
      </c>
      <c r="Q112" s="12" t="s">
        <v>232</v>
      </c>
      <c r="R112" s="15" t="s">
        <v>321</v>
      </c>
      <c r="S112" s="22" t="s">
        <v>232</v>
      </c>
      <c r="T112" s="22" t="s">
        <v>232</v>
      </c>
      <c r="U112" s="22" t="s">
        <v>232</v>
      </c>
    </row>
    <row r="113" spans="1:21">
      <c r="A113" s="12" t="s">
        <v>562</v>
      </c>
      <c r="B113" s="12" t="s">
        <v>563</v>
      </c>
      <c r="C113" s="12" t="s">
        <v>573</v>
      </c>
      <c r="D113" s="12" t="s">
        <v>314</v>
      </c>
      <c r="E113" s="23">
        <v>45930</v>
      </c>
      <c r="F113" s="24">
        <v>287440.34000000003</v>
      </c>
      <c r="G113" s="12" t="s">
        <v>316</v>
      </c>
      <c r="H113" s="14" t="s">
        <v>317</v>
      </c>
      <c r="I113" s="24">
        <v>243593.52</v>
      </c>
      <c r="J113" s="24">
        <v>43846.82</v>
      </c>
      <c r="K113" s="24">
        <v>0</v>
      </c>
      <c r="L113" s="24">
        <v>0</v>
      </c>
      <c r="M113" s="24">
        <v>0</v>
      </c>
      <c r="N113" s="22" t="s">
        <v>318</v>
      </c>
      <c r="O113" s="12" t="s">
        <v>319</v>
      </c>
      <c r="P113" s="14" t="s">
        <v>320</v>
      </c>
      <c r="Q113" s="12" t="s">
        <v>232</v>
      </c>
      <c r="R113" s="15" t="s">
        <v>321</v>
      </c>
      <c r="S113" s="22" t="s">
        <v>232</v>
      </c>
      <c r="T113" s="22" t="s">
        <v>232</v>
      </c>
      <c r="U113" s="22" t="s">
        <v>232</v>
      </c>
    </row>
    <row r="114" spans="1:21">
      <c r="A114" s="12" t="s">
        <v>562</v>
      </c>
      <c r="B114" s="12" t="s">
        <v>563</v>
      </c>
      <c r="C114" s="12" t="s">
        <v>574</v>
      </c>
      <c r="D114" s="12" t="s">
        <v>314</v>
      </c>
      <c r="E114" s="23">
        <v>45909</v>
      </c>
      <c r="F114" s="24">
        <v>525455.5</v>
      </c>
      <c r="G114" s="12" t="s">
        <v>316</v>
      </c>
      <c r="H114" s="14" t="s">
        <v>317</v>
      </c>
      <c r="I114" s="24">
        <v>445301.27</v>
      </c>
      <c r="J114" s="24">
        <v>80154.23</v>
      </c>
      <c r="K114" s="24">
        <v>0</v>
      </c>
      <c r="L114" s="24">
        <v>0</v>
      </c>
      <c r="M114" s="24">
        <v>0</v>
      </c>
      <c r="N114" s="22" t="s">
        <v>318</v>
      </c>
      <c r="O114" s="12" t="s">
        <v>319</v>
      </c>
      <c r="P114" s="14" t="s">
        <v>320</v>
      </c>
      <c r="Q114" s="12" t="s">
        <v>232</v>
      </c>
      <c r="R114" s="15" t="s">
        <v>321</v>
      </c>
      <c r="S114" s="22" t="s">
        <v>232</v>
      </c>
      <c r="T114" s="22" t="s">
        <v>232</v>
      </c>
      <c r="U114" s="22" t="s">
        <v>232</v>
      </c>
    </row>
    <row r="115" spans="1:21">
      <c r="A115" s="12" t="s">
        <v>562</v>
      </c>
      <c r="B115" s="12" t="s">
        <v>563</v>
      </c>
      <c r="C115" s="12" t="s">
        <v>575</v>
      </c>
      <c r="D115" s="12" t="s">
        <v>314</v>
      </c>
      <c r="E115" s="23">
        <v>45927</v>
      </c>
      <c r="F115" s="24">
        <v>566490.62</v>
      </c>
      <c r="G115" s="12" t="s">
        <v>316</v>
      </c>
      <c r="H115" s="14" t="s">
        <v>317</v>
      </c>
      <c r="I115" s="24">
        <v>480076.79</v>
      </c>
      <c r="J115" s="24">
        <v>86413.83</v>
      </c>
      <c r="K115" s="24">
        <v>0</v>
      </c>
      <c r="L115" s="24">
        <v>0</v>
      </c>
      <c r="M115" s="24">
        <v>0</v>
      </c>
      <c r="N115" s="22" t="s">
        <v>318</v>
      </c>
      <c r="O115" s="12" t="s">
        <v>319</v>
      </c>
      <c r="P115" s="14" t="s">
        <v>320</v>
      </c>
      <c r="Q115" s="12" t="s">
        <v>232</v>
      </c>
      <c r="R115" s="15" t="s">
        <v>321</v>
      </c>
      <c r="S115" s="22" t="s">
        <v>232</v>
      </c>
      <c r="T115" s="22" t="s">
        <v>232</v>
      </c>
      <c r="U115" s="22" t="s">
        <v>232</v>
      </c>
    </row>
    <row r="116" spans="1:21">
      <c r="A116" s="12" t="s">
        <v>562</v>
      </c>
      <c r="B116" s="12" t="s">
        <v>563</v>
      </c>
      <c r="C116" s="12" t="s">
        <v>576</v>
      </c>
      <c r="D116" s="12" t="s">
        <v>314</v>
      </c>
      <c r="E116" s="23">
        <v>45909</v>
      </c>
      <c r="F116" s="24">
        <v>171598.01</v>
      </c>
      <c r="G116" s="12" t="s">
        <v>316</v>
      </c>
      <c r="H116" s="14" t="s">
        <v>317</v>
      </c>
      <c r="I116" s="24">
        <v>145422.04999999999</v>
      </c>
      <c r="J116" s="24">
        <v>26175.96</v>
      </c>
      <c r="K116" s="24">
        <v>0</v>
      </c>
      <c r="L116" s="24">
        <v>0</v>
      </c>
      <c r="M116" s="24">
        <v>0</v>
      </c>
      <c r="N116" s="22" t="s">
        <v>318</v>
      </c>
      <c r="O116" s="12" t="s">
        <v>319</v>
      </c>
      <c r="P116" s="14" t="s">
        <v>320</v>
      </c>
      <c r="Q116" s="12" t="s">
        <v>232</v>
      </c>
      <c r="R116" s="15" t="s">
        <v>321</v>
      </c>
      <c r="S116" s="22" t="s">
        <v>232</v>
      </c>
      <c r="T116" s="22" t="s">
        <v>232</v>
      </c>
      <c r="U116" s="22" t="s">
        <v>232</v>
      </c>
    </row>
    <row r="117" spans="1:21">
      <c r="A117" s="12" t="s">
        <v>562</v>
      </c>
      <c r="B117" s="12" t="s">
        <v>563</v>
      </c>
      <c r="C117" s="12" t="s">
        <v>577</v>
      </c>
      <c r="D117" s="12" t="s">
        <v>314</v>
      </c>
      <c r="E117" s="23">
        <v>45927</v>
      </c>
      <c r="F117" s="24">
        <v>91448.84</v>
      </c>
      <c r="G117" s="12" t="s">
        <v>316</v>
      </c>
      <c r="H117" s="14" t="s">
        <v>317</v>
      </c>
      <c r="I117" s="24">
        <v>77499.02</v>
      </c>
      <c r="J117" s="24">
        <v>13949.82</v>
      </c>
      <c r="K117" s="24">
        <v>0</v>
      </c>
      <c r="L117" s="24">
        <v>0</v>
      </c>
      <c r="M117" s="24">
        <v>0</v>
      </c>
      <c r="N117" s="22" t="s">
        <v>318</v>
      </c>
      <c r="O117" s="12" t="s">
        <v>319</v>
      </c>
      <c r="P117" s="14" t="s">
        <v>320</v>
      </c>
      <c r="Q117" s="12" t="s">
        <v>232</v>
      </c>
      <c r="R117" s="15" t="s">
        <v>321</v>
      </c>
      <c r="S117" s="22" t="s">
        <v>232</v>
      </c>
      <c r="T117" s="22" t="s">
        <v>232</v>
      </c>
      <c r="U117" s="22" t="s">
        <v>232</v>
      </c>
    </row>
    <row r="118" spans="1:21">
      <c r="A118" s="12" t="s">
        <v>578</v>
      </c>
      <c r="B118" s="12" t="s">
        <v>579</v>
      </c>
      <c r="C118" s="12" t="s">
        <v>580</v>
      </c>
      <c r="D118" s="12" t="s">
        <v>314</v>
      </c>
      <c r="E118" s="23">
        <v>45924</v>
      </c>
      <c r="F118" s="24">
        <v>4610</v>
      </c>
      <c r="G118" s="12" t="s">
        <v>316</v>
      </c>
      <c r="H118" s="14" t="s">
        <v>317</v>
      </c>
      <c r="I118" s="24">
        <v>3872.88</v>
      </c>
      <c r="J118" s="24">
        <v>0</v>
      </c>
      <c r="K118" s="24">
        <v>348.56</v>
      </c>
      <c r="L118" s="24">
        <v>348.56</v>
      </c>
      <c r="M118" s="24">
        <v>0</v>
      </c>
      <c r="N118" s="22" t="s">
        <v>318</v>
      </c>
      <c r="O118" s="12" t="s">
        <v>384</v>
      </c>
      <c r="P118" s="14" t="s">
        <v>320</v>
      </c>
      <c r="Q118" s="12" t="s">
        <v>232</v>
      </c>
      <c r="R118" s="15" t="s">
        <v>321</v>
      </c>
      <c r="S118" s="22" t="s">
        <v>232</v>
      </c>
      <c r="T118" s="22" t="s">
        <v>232</v>
      </c>
      <c r="U118" s="22" t="s">
        <v>232</v>
      </c>
    </row>
    <row r="119" spans="1:21">
      <c r="A119" s="12" t="s">
        <v>581</v>
      </c>
      <c r="B119" s="12" t="s">
        <v>582</v>
      </c>
      <c r="C119" s="12" t="s">
        <v>583</v>
      </c>
      <c r="D119" s="12" t="s">
        <v>314</v>
      </c>
      <c r="E119" s="23">
        <v>45922</v>
      </c>
      <c r="F119" s="24">
        <v>756359.24</v>
      </c>
      <c r="G119" s="12" t="s">
        <v>316</v>
      </c>
      <c r="H119" s="14" t="s">
        <v>317</v>
      </c>
      <c r="I119" s="24">
        <v>640982.4</v>
      </c>
      <c r="J119" s="24">
        <v>115376.84</v>
      </c>
      <c r="K119" s="24">
        <v>0</v>
      </c>
      <c r="L119" s="24">
        <v>0</v>
      </c>
      <c r="M119" s="24">
        <v>0</v>
      </c>
      <c r="N119" s="22" t="s">
        <v>318</v>
      </c>
      <c r="O119" s="12" t="s">
        <v>319</v>
      </c>
      <c r="P119" s="14" t="s">
        <v>320</v>
      </c>
      <c r="Q119" s="12" t="s">
        <v>232</v>
      </c>
      <c r="R119" s="15" t="s">
        <v>321</v>
      </c>
      <c r="S119" s="22" t="s">
        <v>322</v>
      </c>
      <c r="T119" s="22" t="s">
        <v>584</v>
      </c>
      <c r="U119" s="22" t="s">
        <v>512</v>
      </c>
    </row>
    <row r="120" spans="1:21">
      <c r="A120" s="12" t="s">
        <v>585</v>
      </c>
      <c r="B120" s="12" t="s">
        <v>586</v>
      </c>
      <c r="C120" s="12" t="s">
        <v>587</v>
      </c>
      <c r="D120" s="12" t="s">
        <v>314</v>
      </c>
      <c r="E120" s="23">
        <v>45923</v>
      </c>
      <c r="F120" s="24">
        <v>107286</v>
      </c>
      <c r="G120" s="12" t="s">
        <v>316</v>
      </c>
      <c r="H120" s="14" t="s">
        <v>317</v>
      </c>
      <c r="I120" s="24">
        <v>90920</v>
      </c>
      <c r="J120" s="24">
        <v>0</v>
      </c>
      <c r="K120" s="24">
        <v>8182.8</v>
      </c>
      <c r="L120" s="24">
        <v>8182.8</v>
      </c>
      <c r="M120" s="24">
        <v>0</v>
      </c>
      <c r="N120" s="22" t="s">
        <v>318</v>
      </c>
      <c r="O120" s="12" t="s">
        <v>319</v>
      </c>
      <c r="P120" s="14" t="s">
        <v>320</v>
      </c>
      <c r="Q120" s="12" t="s">
        <v>232</v>
      </c>
      <c r="R120" s="15" t="s">
        <v>321</v>
      </c>
      <c r="S120" s="22" t="s">
        <v>232</v>
      </c>
      <c r="T120" s="22" t="s">
        <v>232</v>
      </c>
      <c r="U120" s="22" t="s">
        <v>232</v>
      </c>
    </row>
    <row r="121" spans="1:21">
      <c r="A121" s="12" t="s">
        <v>589</v>
      </c>
      <c r="B121" s="12" t="s">
        <v>590</v>
      </c>
      <c r="C121" s="12" t="s">
        <v>591</v>
      </c>
      <c r="D121" s="12" t="s">
        <v>314</v>
      </c>
      <c r="E121" s="23">
        <v>45922</v>
      </c>
      <c r="F121" s="24">
        <v>1103750</v>
      </c>
      <c r="G121" s="12" t="s">
        <v>316</v>
      </c>
      <c r="H121" s="14" t="s">
        <v>317</v>
      </c>
      <c r="I121" s="24">
        <v>935381.34</v>
      </c>
      <c r="J121" s="24">
        <v>168368.66</v>
      </c>
      <c r="K121" s="24">
        <v>0</v>
      </c>
      <c r="L121" s="24">
        <v>0</v>
      </c>
      <c r="M121" s="24">
        <v>0</v>
      </c>
      <c r="N121" s="22" t="s">
        <v>318</v>
      </c>
      <c r="O121" s="12" t="s">
        <v>395</v>
      </c>
      <c r="P121" s="14" t="s">
        <v>320</v>
      </c>
      <c r="Q121" s="12" t="s">
        <v>232</v>
      </c>
      <c r="R121" s="15" t="s">
        <v>321</v>
      </c>
      <c r="S121" s="22" t="s">
        <v>322</v>
      </c>
      <c r="T121" s="22" t="s">
        <v>592</v>
      </c>
      <c r="U121" s="22" t="s">
        <v>512</v>
      </c>
    </row>
    <row r="122" spans="1:21">
      <c r="A122" s="12" t="s">
        <v>593</v>
      </c>
      <c r="B122" s="12" t="s">
        <v>594</v>
      </c>
      <c r="C122" s="12" t="s">
        <v>595</v>
      </c>
      <c r="D122" s="12" t="s">
        <v>314</v>
      </c>
      <c r="E122" s="23">
        <v>45901</v>
      </c>
      <c r="F122" s="24">
        <v>171809</v>
      </c>
      <c r="G122" s="12" t="s">
        <v>316</v>
      </c>
      <c r="H122" s="14" t="s">
        <v>317</v>
      </c>
      <c r="I122" s="24">
        <v>145600.5</v>
      </c>
      <c r="J122" s="24">
        <v>0</v>
      </c>
      <c r="K122" s="24">
        <v>13104.04</v>
      </c>
      <c r="L122" s="24">
        <v>13104.04</v>
      </c>
      <c r="M122" s="24">
        <v>0</v>
      </c>
      <c r="N122" s="22" t="s">
        <v>318</v>
      </c>
      <c r="O122" s="12" t="s">
        <v>384</v>
      </c>
      <c r="P122" s="14" t="s">
        <v>320</v>
      </c>
      <c r="Q122" s="12" t="s">
        <v>232</v>
      </c>
      <c r="R122" s="15" t="s">
        <v>321</v>
      </c>
      <c r="S122" s="22" t="s">
        <v>322</v>
      </c>
      <c r="T122" s="22" t="s">
        <v>597</v>
      </c>
      <c r="U122" s="22" t="s">
        <v>596</v>
      </c>
    </row>
    <row r="123" spans="1:21">
      <c r="A123" s="12" t="s">
        <v>598</v>
      </c>
      <c r="B123" s="12" t="s">
        <v>599</v>
      </c>
      <c r="C123" s="12" t="s">
        <v>600</v>
      </c>
      <c r="D123" s="12" t="s">
        <v>314</v>
      </c>
      <c r="E123" s="23">
        <v>45919</v>
      </c>
      <c r="F123" s="24">
        <v>67850</v>
      </c>
      <c r="G123" s="12" t="s">
        <v>316</v>
      </c>
      <c r="H123" s="14" t="s">
        <v>317</v>
      </c>
      <c r="I123" s="24">
        <v>57500</v>
      </c>
      <c r="J123" s="24">
        <v>0</v>
      </c>
      <c r="K123" s="24">
        <v>5175</v>
      </c>
      <c r="L123" s="24">
        <v>5175</v>
      </c>
      <c r="M123" s="24">
        <v>0</v>
      </c>
      <c r="N123" s="22" t="s">
        <v>318</v>
      </c>
      <c r="O123" s="12" t="s">
        <v>328</v>
      </c>
      <c r="P123" s="14" t="s">
        <v>320</v>
      </c>
      <c r="Q123" s="12" t="s">
        <v>232</v>
      </c>
      <c r="R123" s="15" t="s">
        <v>321</v>
      </c>
      <c r="S123" s="22" t="s">
        <v>232</v>
      </c>
      <c r="T123" s="22" t="s">
        <v>232</v>
      </c>
      <c r="U123" s="22" t="s">
        <v>232</v>
      </c>
    </row>
    <row r="124" spans="1:21">
      <c r="A124" s="12" t="s">
        <v>598</v>
      </c>
      <c r="B124" s="12" t="s">
        <v>599</v>
      </c>
      <c r="C124" s="12" t="s">
        <v>601</v>
      </c>
      <c r="D124" s="12" t="s">
        <v>314</v>
      </c>
      <c r="E124" s="23">
        <v>45919</v>
      </c>
      <c r="F124" s="24">
        <v>82128</v>
      </c>
      <c r="G124" s="12" t="s">
        <v>316</v>
      </c>
      <c r="H124" s="14" t="s">
        <v>317</v>
      </c>
      <c r="I124" s="24">
        <v>69600</v>
      </c>
      <c r="J124" s="24">
        <v>0</v>
      </c>
      <c r="K124" s="24">
        <v>6264</v>
      </c>
      <c r="L124" s="24">
        <v>6264</v>
      </c>
      <c r="M124" s="24">
        <v>0</v>
      </c>
      <c r="N124" s="22" t="s">
        <v>318</v>
      </c>
      <c r="O124" s="12" t="s">
        <v>328</v>
      </c>
      <c r="P124" s="14" t="s">
        <v>320</v>
      </c>
      <c r="Q124" s="12" t="s">
        <v>232</v>
      </c>
      <c r="R124" s="15" t="s">
        <v>321</v>
      </c>
      <c r="S124" s="22" t="s">
        <v>232</v>
      </c>
      <c r="T124" s="22" t="s">
        <v>232</v>
      </c>
      <c r="U124" s="22" t="s">
        <v>232</v>
      </c>
    </row>
    <row r="125" spans="1:21">
      <c r="A125" s="12" t="s">
        <v>598</v>
      </c>
      <c r="B125" s="12" t="s">
        <v>599</v>
      </c>
      <c r="C125" s="12" t="s">
        <v>602</v>
      </c>
      <c r="D125" s="12" t="s">
        <v>314</v>
      </c>
      <c r="E125" s="23">
        <v>45919</v>
      </c>
      <c r="F125" s="24">
        <v>45722</v>
      </c>
      <c r="G125" s="12" t="s">
        <v>316</v>
      </c>
      <c r="H125" s="14" t="s">
        <v>317</v>
      </c>
      <c r="I125" s="24">
        <v>38748.1</v>
      </c>
      <c r="J125" s="24">
        <v>0</v>
      </c>
      <c r="K125" s="24">
        <v>3487.33</v>
      </c>
      <c r="L125" s="24">
        <v>3487.33</v>
      </c>
      <c r="M125" s="24">
        <v>0</v>
      </c>
      <c r="N125" s="22" t="s">
        <v>318</v>
      </c>
      <c r="O125" s="12" t="s">
        <v>328</v>
      </c>
      <c r="P125" s="14" t="s">
        <v>320</v>
      </c>
      <c r="Q125" s="12" t="s">
        <v>232</v>
      </c>
      <c r="R125" s="15" t="s">
        <v>321</v>
      </c>
      <c r="S125" s="22" t="s">
        <v>232</v>
      </c>
      <c r="T125" s="22" t="s">
        <v>232</v>
      </c>
      <c r="U125" s="22" t="s">
        <v>232</v>
      </c>
    </row>
    <row r="126" spans="1:21">
      <c r="A126" s="12" t="s">
        <v>598</v>
      </c>
      <c r="B126" s="12" t="s">
        <v>599</v>
      </c>
      <c r="C126" s="12" t="s">
        <v>603</v>
      </c>
      <c r="D126" s="12" t="s">
        <v>314</v>
      </c>
      <c r="E126" s="23">
        <v>45921</v>
      </c>
      <c r="F126" s="24">
        <v>88571</v>
      </c>
      <c r="G126" s="12" t="s">
        <v>316</v>
      </c>
      <c r="H126" s="14" t="s">
        <v>317</v>
      </c>
      <c r="I126" s="24">
        <v>75060</v>
      </c>
      <c r="J126" s="24">
        <v>0</v>
      </c>
      <c r="K126" s="24">
        <v>6755.4</v>
      </c>
      <c r="L126" s="24">
        <v>6755.4</v>
      </c>
      <c r="M126" s="24">
        <v>0</v>
      </c>
      <c r="N126" s="22" t="s">
        <v>318</v>
      </c>
      <c r="O126" s="12" t="s">
        <v>328</v>
      </c>
      <c r="P126" s="14" t="s">
        <v>320</v>
      </c>
      <c r="Q126" s="12" t="s">
        <v>232</v>
      </c>
      <c r="R126" s="15" t="s">
        <v>321</v>
      </c>
      <c r="S126" s="22" t="s">
        <v>232</v>
      </c>
      <c r="T126" s="22" t="s">
        <v>232</v>
      </c>
      <c r="U126" s="22" t="s">
        <v>232</v>
      </c>
    </row>
    <row r="127" spans="1:21">
      <c r="A127" s="12" t="s">
        <v>604</v>
      </c>
      <c r="B127" s="12" t="s">
        <v>605</v>
      </c>
      <c r="C127" s="12" t="s">
        <v>606</v>
      </c>
      <c r="D127" s="12" t="s">
        <v>314</v>
      </c>
      <c r="E127" s="23">
        <v>45915</v>
      </c>
      <c r="F127" s="24">
        <v>117600</v>
      </c>
      <c r="G127" s="12" t="s">
        <v>316</v>
      </c>
      <c r="H127" s="14" t="s">
        <v>317</v>
      </c>
      <c r="I127" s="24">
        <v>105000</v>
      </c>
      <c r="J127" s="24">
        <v>12600</v>
      </c>
      <c r="K127" s="24">
        <v>0</v>
      </c>
      <c r="L127" s="24">
        <v>0</v>
      </c>
      <c r="M127" s="24">
        <v>0</v>
      </c>
      <c r="N127" s="22" t="s">
        <v>318</v>
      </c>
      <c r="O127" s="12" t="s">
        <v>384</v>
      </c>
      <c r="P127" s="14" t="s">
        <v>320</v>
      </c>
      <c r="Q127" s="12" t="s">
        <v>232</v>
      </c>
      <c r="R127" s="15" t="s">
        <v>321</v>
      </c>
      <c r="S127" s="22" t="s">
        <v>322</v>
      </c>
      <c r="T127" s="22" t="s">
        <v>607</v>
      </c>
      <c r="U127" s="22" t="s">
        <v>332</v>
      </c>
    </row>
    <row r="128" spans="1:21">
      <c r="A128" s="12" t="s">
        <v>604</v>
      </c>
      <c r="B128" s="12" t="s">
        <v>605</v>
      </c>
      <c r="C128" s="12" t="s">
        <v>608</v>
      </c>
      <c r="D128" s="12" t="s">
        <v>314</v>
      </c>
      <c r="E128" s="23">
        <v>45918</v>
      </c>
      <c r="F128" s="24">
        <v>118720</v>
      </c>
      <c r="G128" s="12" t="s">
        <v>316</v>
      </c>
      <c r="H128" s="14" t="s">
        <v>317</v>
      </c>
      <c r="I128" s="24">
        <v>106000</v>
      </c>
      <c r="J128" s="24">
        <v>12720</v>
      </c>
      <c r="K128" s="24">
        <v>0</v>
      </c>
      <c r="L128" s="24">
        <v>0</v>
      </c>
      <c r="M128" s="24">
        <v>0</v>
      </c>
      <c r="N128" s="22" t="s">
        <v>318</v>
      </c>
      <c r="O128" s="12" t="s">
        <v>384</v>
      </c>
      <c r="P128" s="14" t="s">
        <v>320</v>
      </c>
      <c r="Q128" s="12" t="s">
        <v>232</v>
      </c>
      <c r="R128" s="15" t="s">
        <v>321</v>
      </c>
      <c r="S128" s="22" t="s">
        <v>322</v>
      </c>
      <c r="T128" s="22" t="s">
        <v>609</v>
      </c>
      <c r="U128" s="22" t="s">
        <v>335</v>
      </c>
    </row>
    <row r="129" spans="1:21">
      <c r="A129" s="12" t="s">
        <v>604</v>
      </c>
      <c r="B129" s="12" t="s">
        <v>605</v>
      </c>
      <c r="C129" s="12" t="s">
        <v>610</v>
      </c>
      <c r="D129" s="12" t="s">
        <v>314</v>
      </c>
      <c r="E129" s="23">
        <v>45918</v>
      </c>
      <c r="F129" s="24">
        <v>127680</v>
      </c>
      <c r="G129" s="12" t="s">
        <v>316</v>
      </c>
      <c r="H129" s="14" t="s">
        <v>317</v>
      </c>
      <c r="I129" s="24">
        <v>114000</v>
      </c>
      <c r="J129" s="24">
        <v>13680</v>
      </c>
      <c r="K129" s="24">
        <v>0</v>
      </c>
      <c r="L129" s="24">
        <v>0</v>
      </c>
      <c r="M129" s="24">
        <v>0</v>
      </c>
      <c r="N129" s="22" t="s">
        <v>318</v>
      </c>
      <c r="O129" s="12" t="s">
        <v>384</v>
      </c>
      <c r="P129" s="14" t="s">
        <v>320</v>
      </c>
      <c r="Q129" s="12" t="s">
        <v>232</v>
      </c>
      <c r="R129" s="15" t="s">
        <v>321</v>
      </c>
      <c r="S129" s="22" t="s">
        <v>322</v>
      </c>
      <c r="T129" s="22" t="s">
        <v>611</v>
      </c>
      <c r="U129" s="22" t="s">
        <v>335</v>
      </c>
    </row>
    <row r="130" spans="1:21">
      <c r="A130" s="12" t="s">
        <v>612</v>
      </c>
      <c r="B130" s="12" t="s">
        <v>613</v>
      </c>
      <c r="C130" s="12" t="s">
        <v>614</v>
      </c>
      <c r="D130" s="12" t="s">
        <v>314</v>
      </c>
      <c r="E130" s="23">
        <v>45902</v>
      </c>
      <c r="F130" s="24">
        <v>58800</v>
      </c>
      <c r="G130" s="12" t="s">
        <v>316</v>
      </c>
      <c r="H130" s="14" t="s">
        <v>317</v>
      </c>
      <c r="I130" s="24">
        <v>49830.51</v>
      </c>
      <c r="J130" s="24">
        <v>0</v>
      </c>
      <c r="K130" s="24">
        <v>4484.75</v>
      </c>
      <c r="L130" s="24">
        <v>4484.75</v>
      </c>
      <c r="M130" s="24">
        <v>0</v>
      </c>
      <c r="N130" s="22" t="s">
        <v>318</v>
      </c>
      <c r="O130" s="12" t="s">
        <v>384</v>
      </c>
      <c r="P130" s="14" t="s">
        <v>320</v>
      </c>
      <c r="Q130" s="12" t="s">
        <v>232</v>
      </c>
      <c r="R130" s="15" t="s">
        <v>321</v>
      </c>
      <c r="S130" s="22" t="s">
        <v>232</v>
      </c>
      <c r="T130" s="22" t="s">
        <v>232</v>
      </c>
      <c r="U130" s="22" t="s">
        <v>232</v>
      </c>
    </row>
    <row r="131" spans="1:21">
      <c r="A131" s="12" t="s">
        <v>615</v>
      </c>
      <c r="B131" s="12" t="s">
        <v>616</v>
      </c>
      <c r="C131" s="12" t="s">
        <v>617</v>
      </c>
      <c r="D131" s="12" t="s">
        <v>314</v>
      </c>
      <c r="E131" s="23">
        <v>45906</v>
      </c>
      <c r="F131" s="24">
        <v>10008</v>
      </c>
      <c r="G131" s="12" t="s">
        <v>316</v>
      </c>
      <c r="H131" s="14" t="s">
        <v>317</v>
      </c>
      <c r="I131" s="24">
        <v>8481.6</v>
      </c>
      <c r="J131" s="24">
        <v>0</v>
      </c>
      <c r="K131" s="24">
        <v>763.34</v>
      </c>
      <c r="L131" s="24">
        <v>763.34</v>
      </c>
      <c r="M131" s="24">
        <v>0</v>
      </c>
      <c r="N131" s="22" t="s">
        <v>318</v>
      </c>
      <c r="O131" s="12" t="s">
        <v>395</v>
      </c>
      <c r="P131" s="14" t="s">
        <v>320</v>
      </c>
      <c r="Q131" s="12" t="s">
        <v>232</v>
      </c>
      <c r="R131" s="15" t="s">
        <v>321</v>
      </c>
      <c r="S131" s="22" t="s">
        <v>322</v>
      </c>
      <c r="T131" s="22" t="s">
        <v>618</v>
      </c>
      <c r="U131" s="22" t="s">
        <v>354</v>
      </c>
    </row>
    <row r="132" spans="1:21">
      <c r="A132" s="12" t="s">
        <v>615</v>
      </c>
      <c r="B132" s="12" t="s">
        <v>616</v>
      </c>
      <c r="C132" s="12" t="s">
        <v>619</v>
      </c>
      <c r="D132" s="12" t="s">
        <v>314</v>
      </c>
      <c r="E132" s="23">
        <v>45925</v>
      </c>
      <c r="F132" s="24">
        <v>47694</v>
      </c>
      <c r="G132" s="12" t="s">
        <v>316</v>
      </c>
      <c r="H132" s="14" t="s">
        <v>317</v>
      </c>
      <c r="I132" s="24">
        <v>40419</v>
      </c>
      <c r="J132" s="24">
        <v>0</v>
      </c>
      <c r="K132" s="24">
        <v>3637.71</v>
      </c>
      <c r="L132" s="24">
        <v>3637.71</v>
      </c>
      <c r="M132" s="24">
        <v>0</v>
      </c>
      <c r="N132" s="22" t="s">
        <v>318</v>
      </c>
      <c r="O132" s="12" t="s">
        <v>395</v>
      </c>
      <c r="P132" s="14" t="s">
        <v>320</v>
      </c>
      <c r="Q132" s="12" t="s">
        <v>232</v>
      </c>
      <c r="R132" s="15" t="s">
        <v>321</v>
      </c>
      <c r="S132" s="22" t="s">
        <v>322</v>
      </c>
      <c r="T132" s="22" t="s">
        <v>620</v>
      </c>
      <c r="U132" s="22" t="s">
        <v>423</v>
      </c>
    </row>
    <row r="133" spans="1:21">
      <c r="A133" s="12" t="s">
        <v>615</v>
      </c>
      <c r="B133" s="12" t="s">
        <v>616</v>
      </c>
      <c r="C133" s="12" t="s">
        <v>621</v>
      </c>
      <c r="D133" s="12" t="s">
        <v>314</v>
      </c>
      <c r="E133" s="23">
        <v>45925</v>
      </c>
      <c r="F133" s="24">
        <v>23717</v>
      </c>
      <c r="G133" s="12" t="s">
        <v>316</v>
      </c>
      <c r="H133" s="14" t="s">
        <v>317</v>
      </c>
      <c r="I133" s="24">
        <v>20098.8</v>
      </c>
      <c r="J133" s="24">
        <v>0</v>
      </c>
      <c r="K133" s="24">
        <v>1808.89</v>
      </c>
      <c r="L133" s="24">
        <v>1808.89</v>
      </c>
      <c r="M133" s="24">
        <v>0</v>
      </c>
      <c r="N133" s="22" t="s">
        <v>318</v>
      </c>
      <c r="O133" s="12" t="s">
        <v>395</v>
      </c>
      <c r="P133" s="14" t="s">
        <v>320</v>
      </c>
      <c r="Q133" s="12" t="s">
        <v>232</v>
      </c>
      <c r="R133" s="15" t="s">
        <v>321</v>
      </c>
      <c r="S133" s="22" t="s">
        <v>322</v>
      </c>
      <c r="T133" s="22" t="s">
        <v>622</v>
      </c>
      <c r="U133" s="22" t="s">
        <v>423</v>
      </c>
    </row>
    <row r="134" spans="1:21">
      <c r="A134" s="12" t="s">
        <v>623</v>
      </c>
      <c r="B134" s="12" t="s">
        <v>624</v>
      </c>
      <c r="C134" s="12" t="s">
        <v>625</v>
      </c>
      <c r="D134" s="12" t="s">
        <v>314</v>
      </c>
      <c r="E134" s="23">
        <v>45918</v>
      </c>
      <c r="F134" s="24">
        <v>3300</v>
      </c>
      <c r="G134" s="12" t="s">
        <v>316</v>
      </c>
      <c r="H134" s="14" t="s">
        <v>320</v>
      </c>
      <c r="I134" s="24">
        <v>3300</v>
      </c>
      <c r="J134" s="24">
        <v>0</v>
      </c>
      <c r="K134" s="24">
        <v>82.5</v>
      </c>
      <c r="L134" s="24">
        <v>82.5</v>
      </c>
      <c r="M134" s="24">
        <v>0</v>
      </c>
      <c r="N134" s="22" t="s">
        <v>318</v>
      </c>
      <c r="O134" s="12" t="s">
        <v>319</v>
      </c>
      <c r="P134" s="14" t="s">
        <v>320</v>
      </c>
      <c r="Q134" s="12" t="s">
        <v>232</v>
      </c>
      <c r="R134" s="15" t="s">
        <v>321</v>
      </c>
      <c r="S134" s="22" t="s">
        <v>232</v>
      </c>
      <c r="T134" s="22" t="s">
        <v>232</v>
      </c>
      <c r="U134" s="22" t="s">
        <v>232</v>
      </c>
    </row>
    <row r="135" spans="1:21">
      <c r="A135" s="12" t="s">
        <v>626</v>
      </c>
      <c r="B135" s="12" t="s">
        <v>582</v>
      </c>
      <c r="C135" s="12" t="s">
        <v>627</v>
      </c>
      <c r="D135" s="12" t="s">
        <v>314</v>
      </c>
      <c r="E135" s="23">
        <v>45925</v>
      </c>
      <c r="F135" s="24">
        <v>185212.79999999999</v>
      </c>
      <c r="G135" s="12" t="s">
        <v>316</v>
      </c>
      <c r="H135" s="14" t="s">
        <v>317</v>
      </c>
      <c r="I135" s="24">
        <v>156960</v>
      </c>
      <c r="J135" s="24">
        <v>0</v>
      </c>
      <c r="K135" s="24">
        <v>14126.4</v>
      </c>
      <c r="L135" s="24">
        <v>14126.4</v>
      </c>
      <c r="M135" s="24">
        <v>0</v>
      </c>
      <c r="N135" s="22" t="s">
        <v>318</v>
      </c>
      <c r="O135" s="12" t="s">
        <v>319</v>
      </c>
      <c r="P135" s="14" t="s">
        <v>320</v>
      </c>
      <c r="Q135" s="12" t="s">
        <v>232</v>
      </c>
      <c r="R135" s="15" t="s">
        <v>321</v>
      </c>
      <c r="S135" s="22" t="s">
        <v>322</v>
      </c>
      <c r="T135" s="22" t="s">
        <v>628</v>
      </c>
      <c r="U135" s="22" t="s">
        <v>338</v>
      </c>
    </row>
    <row r="136" spans="1:21">
      <c r="A136" s="12" t="s">
        <v>629</v>
      </c>
      <c r="B136" s="12" t="s">
        <v>630</v>
      </c>
      <c r="C136" s="12" t="s">
        <v>631</v>
      </c>
      <c r="D136" s="12" t="s">
        <v>314</v>
      </c>
      <c r="E136" s="23">
        <v>45910</v>
      </c>
      <c r="F136" s="24">
        <v>226531.68</v>
      </c>
      <c r="G136" s="12" t="s">
        <v>316</v>
      </c>
      <c r="H136" s="14" t="s">
        <v>317</v>
      </c>
      <c r="I136" s="24">
        <v>191976</v>
      </c>
      <c r="J136" s="24">
        <v>0</v>
      </c>
      <c r="K136" s="24">
        <v>17277.84</v>
      </c>
      <c r="L136" s="24">
        <v>17277.84</v>
      </c>
      <c r="M136" s="24">
        <v>0</v>
      </c>
      <c r="N136" s="22" t="s">
        <v>318</v>
      </c>
      <c r="O136" s="12" t="s">
        <v>384</v>
      </c>
      <c r="P136" s="14" t="s">
        <v>320</v>
      </c>
      <c r="Q136" s="12" t="s">
        <v>232</v>
      </c>
      <c r="R136" s="15" t="s">
        <v>321</v>
      </c>
      <c r="S136" s="22" t="s">
        <v>232</v>
      </c>
      <c r="T136" s="22" t="s">
        <v>232</v>
      </c>
      <c r="U136" s="22" t="s">
        <v>232</v>
      </c>
    </row>
    <row r="137" spans="1:21">
      <c r="A137" s="12" t="s">
        <v>629</v>
      </c>
      <c r="B137" s="12" t="s">
        <v>630</v>
      </c>
      <c r="C137" s="12" t="s">
        <v>632</v>
      </c>
      <c r="D137" s="12" t="s">
        <v>314</v>
      </c>
      <c r="E137" s="23">
        <v>45910</v>
      </c>
      <c r="F137" s="24">
        <v>281572.2</v>
      </c>
      <c r="G137" s="12" t="s">
        <v>316</v>
      </c>
      <c r="H137" s="14" t="s">
        <v>317</v>
      </c>
      <c r="I137" s="24">
        <v>238620.5</v>
      </c>
      <c r="J137" s="24">
        <v>0</v>
      </c>
      <c r="K137" s="24">
        <v>21475.85</v>
      </c>
      <c r="L137" s="24">
        <v>21475.85</v>
      </c>
      <c r="M137" s="24">
        <v>0</v>
      </c>
      <c r="N137" s="22" t="s">
        <v>318</v>
      </c>
      <c r="O137" s="12" t="s">
        <v>384</v>
      </c>
      <c r="P137" s="14" t="s">
        <v>320</v>
      </c>
      <c r="Q137" s="12" t="s">
        <v>232</v>
      </c>
      <c r="R137" s="15" t="s">
        <v>321</v>
      </c>
      <c r="S137" s="22" t="s">
        <v>232</v>
      </c>
      <c r="T137" s="22" t="s">
        <v>232</v>
      </c>
      <c r="U137" s="22" t="s">
        <v>232</v>
      </c>
    </row>
    <row r="138" spans="1:21">
      <c r="A138" s="12" t="s">
        <v>629</v>
      </c>
      <c r="B138" s="12" t="s">
        <v>630</v>
      </c>
      <c r="C138" s="12" t="s">
        <v>633</v>
      </c>
      <c r="D138" s="12" t="s">
        <v>314</v>
      </c>
      <c r="E138" s="23">
        <v>45923</v>
      </c>
      <c r="F138" s="24">
        <v>143941.12</v>
      </c>
      <c r="G138" s="12" t="s">
        <v>316</v>
      </c>
      <c r="H138" s="14" t="s">
        <v>317</v>
      </c>
      <c r="I138" s="24">
        <v>121984</v>
      </c>
      <c r="J138" s="24">
        <v>0</v>
      </c>
      <c r="K138" s="24">
        <v>10978.56</v>
      </c>
      <c r="L138" s="24">
        <v>10978.56</v>
      </c>
      <c r="M138" s="24">
        <v>0</v>
      </c>
      <c r="N138" s="22" t="s">
        <v>318</v>
      </c>
      <c r="O138" s="12" t="s">
        <v>384</v>
      </c>
      <c r="P138" s="14" t="s">
        <v>320</v>
      </c>
      <c r="Q138" s="12" t="s">
        <v>232</v>
      </c>
      <c r="R138" s="15" t="s">
        <v>321</v>
      </c>
      <c r="S138" s="22" t="s">
        <v>232</v>
      </c>
      <c r="T138" s="22" t="s">
        <v>232</v>
      </c>
      <c r="U138" s="22" t="s">
        <v>232</v>
      </c>
    </row>
    <row r="139" spans="1:21">
      <c r="A139" s="12" t="s">
        <v>629</v>
      </c>
      <c r="B139" s="12" t="s">
        <v>630</v>
      </c>
      <c r="C139" s="12" t="s">
        <v>634</v>
      </c>
      <c r="D139" s="12" t="s">
        <v>314</v>
      </c>
      <c r="E139" s="23">
        <v>45923</v>
      </c>
      <c r="F139" s="24">
        <v>652115.19999999995</v>
      </c>
      <c r="G139" s="12" t="s">
        <v>316</v>
      </c>
      <c r="H139" s="14" t="s">
        <v>317</v>
      </c>
      <c r="I139" s="24">
        <v>552640</v>
      </c>
      <c r="J139" s="24">
        <v>0</v>
      </c>
      <c r="K139" s="24">
        <v>49737.599999999999</v>
      </c>
      <c r="L139" s="24">
        <v>49737.599999999999</v>
      </c>
      <c r="M139" s="24">
        <v>0</v>
      </c>
      <c r="N139" s="22" t="s">
        <v>318</v>
      </c>
      <c r="O139" s="12" t="s">
        <v>384</v>
      </c>
      <c r="P139" s="14" t="s">
        <v>320</v>
      </c>
      <c r="Q139" s="12" t="s">
        <v>232</v>
      </c>
      <c r="R139" s="15" t="s">
        <v>321</v>
      </c>
      <c r="S139" s="22" t="s">
        <v>232</v>
      </c>
      <c r="T139" s="22" t="s">
        <v>232</v>
      </c>
      <c r="U139" s="22" t="s">
        <v>232</v>
      </c>
    </row>
    <row r="140" spans="1:21">
      <c r="A140" s="12" t="s">
        <v>629</v>
      </c>
      <c r="B140" s="12" t="s">
        <v>630</v>
      </c>
      <c r="C140" s="12" t="s">
        <v>635</v>
      </c>
      <c r="D140" s="12" t="s">
        <v>314</v>
      </c>
      <c r="E140" s="23">
        <v>45923</v>
      </c>
      <c r="F140" s="24">
        <v>48710.400000000001</v>
      </c>
      <c r="G140" s="12" t="s">
        <v>316</v>
      </c>
      <c r="H140" s="14" t="s">
        <v>317</v>
      </c>
      <c r="I140" s="24">
        <v>41280</v>
      </c>
      <c r="J140" s="24">
        <v>0</v>
      </c>
      <c r="K140" s="24">
        <v>3715.2</v>
      </c>
      <c r="L140" s="24">
        <v>3715.2</v>
      </c>
      <c r="M140" s="24">
        <v>0</v>
      </c>
      <c r="N140" s="22" t="s">
        <v>318</v>
      </c>
      <c r="O140" s="12" t="s">
        <v>384</v>
      </c>
      <c r="P140" s="14" t="s">
        <v>320</v>
      </c>
      <c r="Q140" s="12" t="s">
        <v>232</v>
      </c>
      <c r="R140" s="15" t="s">
        <v>321</v>
      </c>
      <c r="S140" s="22" t="s">
        <v>232</v>
      </c>
      <c r="T140" s="22" t="s">
        <v>232</v>
      </c>
      <c r="U140" s="22" t="s">
        <v>232</v>
      </c>
    </row>
    <row r="141" spans="1:21">
      <c r="A141" s="12" t="s">
        <v>636</v>
      </c>
      <c r="B141" s="12" t="s">
        <v>637</v>
      </c>
      <c r="C141" s="12" t="s">
        <v>638</v>
      </c>
      <c r="D141" s="12" t="s">
        <v>314</v>
      </c>
      <c r="E141" s="23">
        <v>45901</v>
      </c>
      <c r="F141" s="24">
        <v>600</v>
      </c>
      <c r="G141" s="12" t="s">
        <v>316</v>
      </c>
      <c r="H141" s="14" t="s">
        <v>317</v>
      </c>
      <c r="I141" s="24">
        <v>508.5</v>
      </c>
      <c r="J141" s="24">
        <v>0</v>
      </c>
      <c r="K141" s="24">
        <v>45.77</v>
      </c>
      <c r="L141" s="24">
        <v>45.77</v>
      </c>
      <c r="M141" s="24">
        <v>0</v>
      </c>
      <c r="N141" s="22" t="s">
        <v>318</v>
      </c>
      <c r="O141" s="12" t="s">
        <v>319</v>
      </c>
      <c r="P141" s="14" t="s">
        <v>320</v>
      </c>
      <c r="Q141" s="12" t="s">
        <v>232</v>
      </c>
      <c r="R141" s="15" t="s">
        <v>321</v>
      </c>
      <c r="S141" s="22" t="s">
        <v>232</v>
      </c>
      <c r="T141" s="22" t="s">
        <v>232</v>
      </c>
      <c r="U141" s="22" t="s">
        <v>232</v>
      </c>
    </row>
    <row r="142" spans="1:21">
      <c r="A142" s="12" t="s">
        <v>639</v>
      </c>
      <c r="B142" s="12" t="s">
        <v>640</v>
      </c>
      <c r="C142" s="12" t="s">
        <v>641</v>
      </c>
      <c r="D142" s="12" t="s">
        <v>314</v>
      </c>
      <c r="E142" s="23">
        <v>45905</v>
      </c>
      <c r="F142" s="24">
        <v>260</v>
      </c>
      <c r="G142" s="12" t="s">
        <v>316</v>
      </c>
      <c r="H142" s="14" t="s">
        <v>317</v>
      </c>
      <c r="I142" s="24">
        <v>220.34</v>
      </c>
      <c r="J142" s="24">
        <v>0</v>
      </c>
      <c r="K142" s="24">
        <v>19.829999999999998</v>
      </c>
      <c r="L142" s="24">
        <v>19.829999999999998</v>
      </c>
      <c r="M142" s="24">
        <v>0</v>
      </c>
      <c r="N142" s="22" t="s">
        <v>318</v>
      </c>
      <c r="O142" s="12" t="s">
        <v>319</v>
      </c>
      <c r="P142" s="14" t="s">
        <v>320</v>
      </c>
      <c r="Q142" s="12" t="s">
        <v>232</v>
      </c>
      <c r="R142" s="15" t="s">
        <v>321</v>
      </c>
      <c r="S142" s="22" t="s">
        <v>232</v>
      </c>
      <c r="T142" s="22" t="s">
        <v>232</v>
      </c>
      <c r="U142" s="22" t="s">
        <v>232</v>
      </c>
    </row>
    <row r="143" spans="1:21">
      <c r="A143" s="12" t="s">
        <v>639</v>
      </c>
      <c r="B143" s="12" t="s">
        <v>640</v>
      </c>
      <c r="C143" s="12" t="s">
        <v>642</v>
      </c>
      <c r="D143" s="12" t="s">
        <v>314</v>
      </c>
      <c r="E143" s="23">
        <v>45925</v>
      </c>
      <c r="F143" s="24">
        <v>4160</v>
      </c>
      <c r="G143" s="12" t="s">
        <v>316</v>
      </c>
      <c r="H143" s="14" t="s">
        <v>317</v>
      </c>
      <c r="I143" s="24">
        <v>3525.42</v>
      </c>
      <c r="J143" s="24">
        <v>0</v>
      </c>
      <c r="K143" s="24">
        <v>317.29000000000002</v>
      </c>
      <c r="L143" s="24">
        <v>317.29000000000002</v>
      </c>
      <c r="M143" s="24">
        <v>0</v>
      </c>
      <c r="N143" s="22" t="s">
        <v>318</v>
      </c>
      <c r="O143" s="12" t="s">
        <v>319</v>
      </c>
      <c r="P143" s="14" t="s">
        <v>320</v>
      </c>
      <c r="Q143" s="12" t="s">
        <v>232</v>
      </c>
      <c r="R143" s="15" t="s">
        <v>321</v>
      </c>
      <c r="S143" s="22" t="s">
        <v>232</v>
      </c>
      <c r="T143" s="22" t="s">
        <v>232</v>
      </c>
      <c r="U143" s="22" t="s">
        <v>232</v>
      </c>
    </row>
    <row r="144" spans="1:21">
      <c r="A144" s="12" t="s">
        <v>643</v>
      </c>
      <c r="B144" s="12" t="s">
        <v>644</v>
      </c>
      <c r="C144" s="12" t="s">
        <v>645</v>
      </c>
      <c r="D144" s="12" t="s">
        <v>314</v>
      </c>
      <c r="E144" s="23">
        <v>45926</v>
      </c>
      <c r="F144" s="24">
        <v>16586</v>
      </c>
      <c r="G144" s="12" t="s">
        <v>316</v>
      </c>
      <c r="H144" s="14" t="s">
        <v>317</v>
      </c>
      <c r="I144" s="24">
        <v>14056</v>
      </c>
      <c r="J144" s="24">
        <v>2530</v>
      </c>
      <c r="K144" s="24">
        <v>0</v>
      </c>
      <c r="L144" s="24">
        <v>0</v>
      </c>
      <c r="M144" s="24">
        <v>0</v>
      </c>
      <c r="N144" s="22" t="s">
        <v>318</v>
      </c>
      <c r="O144" s="12" t="s">
        <v>384</v>
      </c>
      <c r="P144" s="14" t="s">
        <v>320</v>
      </c>
      <c r="Q144" s="12" t="s">
        <v>232</v>
      </c>
      <c r="R144" s="15" t="s">
        <v>321</v>
      </c>
      <c r="S144" s="22" t="s">
        <v>322</v>
      </c>
      <c r="T144" s="22" t="s">
        <v>646</v>
      </c>
      <c r="U144" s="22" t="s">
        <v>327</v>
      </c>
    </row>
    <row r="145" spans="1:21">
      <c r="A145" s="12" t="s">
        <v>647</v>
      </c>
      <c r="B145" s="12" t="s">
        <v>648</v>
      </c>
      <c r="C145" s="12" t="s">
        <v>649</v>
      </c>
      <c r="D145" s="12" t="s">
        <v>314</v>
      </c>
      <c r="E145" s="23">
        <v>45909</v>
      </c>
      <c r="F145" s="24">
        <v>213830</v>
      </c>
      <c r="G145" s="12" t="s">
        <v>316</v>
      </c>
      <c r="H145" s="14" t="s">
        <v>317</v>
      </c>
      <c r="I145" s="24">
        <v>181212</v>
      </c>
      <c r="J145" s="24">
        <v>0</v>
      </c>
      <c r="K145" s="24">
        <v>16309.08</v>
      </c>
      <c r="L145" s="24">
        <v>16309.08</v>
      </c>
      <c r="M145" s="24">
        <v>0</v>
      </c>
      <c r="N145" s="22" t="s">
        <v>318</v>
      </c>
      <c r="O145" s="12" t="s">
        <v>395</v>
      </c>
      <c r="P145" s="14" t="s">
        <v>320</v>
      </c>
      <c r="Q145" s="12" t="s">
        <v>232</v>
      </c>
      <c r="R145" s="15" t="s">
        <v>321</v>
      </c>
      <c r="S145" s="22" t="s">
        <v>322</v>
      </c>
      <c r="T145" s="22" t="s">
        <v>650</v>
      </c>
      <c r="U145" s="22" t="s">
        <v>315</v>
      </c>
    </row>
    <row r="146" spans="1:21">
      <c r="A146" s="12" t="s">
        <v>651</v>
      </c>
      <c r="B146" s="12" t="s">
        <v>652</v>
      </c>
      <c r="C146" s="12" t="s">
        <v>653</v>
      </c>
      <c r="D146" s="12" t="s">
        <v>314</v>
      </c>
      <c r="E146" s="23">
        <v>45918</v>
      </c>
      <c r="F146" s="24">
        <v>324500</v>
      </c>
      <c r="G146" s="12" t="s">
        <v>316</v>
      </c>
      <c r="H146" s="14" t="s">
        <v>317</v>
      </c>
      <c r="I146" s="24">
        <v>275000</v>
      </c>
      <c r="J146" s="24">
        <v>49500</v>
      </c>
      <c r="K146" s="24">
        <v>0</v>
      </c>
      <c r="L146" s="24">
        <v>0</v>
      </c>
      <c r="M146" s="24">
        <v>0</v>
      </c>
      <c r="N146" s="22" t="s">
        <v>318</v>
      </c>
      <c r="O146" s="12" t="s">
        <v>654</v>
      </c>
      <c r="P146" s="14" t="s">
        <v>320</v>
      </c>
      <c r="Q146" s="12" t="s">
        <v>232</v>
      </c>
      <c r="R146" s="15" t="s">
        <v>321</v>
      </c>
      <c r="S146" s="22" t="s">
        <v>232</v>
      </c>
      <c r="T146" s="22" t="s">
        <v>232</v>
      </c>
      <c r="U146" s="22" t="s">
        <v>232</v>
      </c>
    </row>
    <row r="147" spans="1:21">
      <c r="A147" s="12" t="s">
        <v>655</v>
      </c>
      <c r="B147" s="12" t="s">
        <v>656</v>
      </c>
      <c r="C147" s="12" t="s">
        <v>657</v>
      </c>
      <c r="D147" s="12" t="s">
        <v>314</v>
      </c>
      <c r="E147" s="23">
        <v>45915</v>
      </c>
      <c r="F147" s="24">
        <v>39463</v>
      </c>
      <c r="G147" s="12" t="s">
        <v>316</v>
      </c>
      <c r="H147" s="14" t="s">
        <v>317</v>
      </c>
      <c r="I147" s="24">
        <v>33443.050000000003</v>
      </c>
      <c r="J147" s="24">
        <v>0</v>
      </c>
      <c r="K147" s="24">
        <v>3009.87</v>
      </c>
      <c r="L147" s="24">
        <v>3009.87</v>
      </c>
      <c r="M147" s="24">
        <v>0</v>
      </c>
      <c r="N147" s="22" t="s">
        <v>318</v>
      </c>
      <c r="O147" s="12" t="s">
        <v>319</v>
      </c>
      <c r="P147" s="14" t="s">
        <v>320</v>
      </c>
      <c r="Q147" s="12" t="s">
        <v>232</v>
      </c>
      <c r="R147" s="15" t="s">
        <v>321</v>
      </c>
      <c r="S147" s="22" t="s">
        <v>232</v>
      </c>
      <c r="T147" s="22" t="s">
        <v>232</v>
      </c>
      <c r="U147" s="22" t="s">
        <v>232</v>
      </c>
    </row>
    <row r="148" spans="1:21">
      <c r="A148" s="12" t="s">
        <v>658</v>
      </c>
      <c r="B148" s="12" t="s">
        <v>659</v>
      </c>
      <c r="C148" s="12" t="s">
        <v>660</v>
      </c>
      <c r="D148" s="12" t="s">
        <v>314</v>
      </c>
      <c r="E148" s="23">
        <v>45901</v>
      </c>
      <c r="F148" s="24">
        <v>8828</v>
      </c>
      <c r="G148" s="12" t="s">
        <v>316</v>
      </c>
      <c r="H148" s="14" t="s">
        <v>317</v>
      </c>
      <c r="I148" s="24">
        <v>7481.72</v>
      </c>
      <c r="J148" s="24">
        <v>0</v>
      </c>
      <c r="K148" s="24">
        <v>673.35</v>
      </c>
      <c r="L148" s="24">
        <v>673.35</v>
      </c>
      <c r="M148" s="24">
        <v>0</v>
      </c>
      <c r="N148" s="22" t="s">
        <v>318</v>
      </c>
      <c r="O148" s="12" t="s">
        <v>384</v>
      </c>
      <c r="P148" s="14" t="s">
        <v>320</v>
      </c>
      <c r="Q148" s="12" t="s">
        <v>232</v>
      </c>
      <c r="R148" s="15" t="s">
        <v>321</v>
      </c>
      <c r="S148" s="22" t="s">
        <v>232</v>
      </c>
      <c r="T148" s="22" t="s">
        <v>232</v>
      </c>
      <c r="U148" s="22" t="s">
        <v>232</v>
      </c>
    </row>
    <row r="149" spans="1:21">
      <c r="A149" s="12" t="s">
        <v>661</v>
      </c>
      <c r="B149" s="12" t="s">
        <v>662</v>
      </c>
      <c r="C149" s="12" t="s">
        <v>663</v>
      </c>
      <c r="D149" s="12" t="s">
        <v>314</v>
      </c>
      <c r="E149" s="23">
        <v>45930</v>
      </c>
      <c r="F149" s="24">
        <v>21712</v>
      </c>
      <c r="G149" s="12" t="s">
        <v>316</v>
      </c>
      <c r="H149" s="14" t="s">
        <v>317</v>
      </c>
      <c r="I149" s="24">
        <v>18400.03</v>
      </c>
      <c r="J149" s="24">
        <v>0</v>
      </c>
      <c r="K149" s="24">
        <v>1656</v>
      </c>
      <c r="L149" s="24">
        <v>1656</v>
      </c>
      <c r="M149" s="24">
        <v>0</v>
      </c>
      <c r="N149" s="22" t="s">
        <v>318</v>
      </c>
      <c r="O149" s="12" t="s">
        <v>319</v>
      </c>
      <c r="P149" s="14" t="s">
        <v>320</v>
      </c>
      <c r="Q149" s="12" t="s">
        <v>232</v>
      </c>
      <c r="R149" s="15" t="s">
        <v>321</v>
      </c>
      <c r="S149" s="22" t="s">
        <v>322</v>
      </c>
      <c r="T149" s="22" t="s">
        <v>664</v>
      </c>
      <c r="U149" s="22" t="s">
        <v>423</v>
      </c>
    </row>
    <row r="150" spans="1:21">
      <c r="A150" s="12" t="s">
        <v>665</v>
      </c>
      <c r="B150" s="12" t="s">
        <v>666</v>
      </c>
      <c r="C150" s="12" t="s">
        <v>667</v>
      </c>
      <c r="D150" s="12" t="s">
        <v>314</v>
      </c>
      <c r="E150" s="23">
        <v>45901</v>
      </c>
      <c r="F150" s="24">
        <v>2000</v>
      </c>
      <c r="G150" s="12" t="s">
        <v>316</v>
      </c>
      <c r="H150" s="14" t="s">
        <v>317</v>
      </c>
      <c r="I150" s="24">
        <v>1695</v>
      </c>
      <c r="J150" s="24">
        <v>0</v>
      </c>
      <c r="K150" s="24">
        <v>152.55000000000001</v>
      </c>
      <c r="L150" s="24">
        <v>152.55000000000001</v>
      </c>
      <c r="M150" s="24">
        <v>0</v>
      </c>
      <c r="N150" s="22" t="s">
        <v>318</v>
      </c>
      <c r="O150" s="12" t="s">
        <v>384</v>
      </c>
      <c r="P150" s="14" t="s">
        <v>320</v>
      </c>
      <c r="Q150" s="12" t="s">
        <v>232</v>
      </c>
      <c r="R150" s="15" t="s">
        <v>321</v>
      </c>
      <c r="S150" s="22" t="s">
        <v>232</v>
      </c>
      <c r="T150" s="22" t="s">
        <v>232</v>
      </c>
      <c r="U150" s="22" t="s">
        <v>232</v>
      </c>
    </row>
    <row r="151" spans="1:21">
      <c r="A151" s="12" t="s">
        <v>668</v>
      </c>
      <c r="B151" s="12" t="s">
        <v>669</v>
      </c>
      <c r="C151" s="12" t="s">
        <v>670</v>
      </c>
      <c r="D151" s="12" t="s">
        <v>314</v>
      </c>
      <c r="E151" s="23">
        <v>45912</v>
      </c>
      <c r="F151" s="24">
        <v>19472</v>
      </c>
      <c r="G151" s="12" t="s">
        <v>316</v>
      </c>
      <c r="H151" s="14" t="s">
        <v>317</v>
      </c>
      <c r="I151" s="24">
        <v>17320</v>
      </c>
      <c r="J151" s="24">
        <v>0</v>
      </c>
      <c r="K151" s="24">
        <v>1076</v>
      </c>
      <c r="L151" s="24">
        <v>1076</v>
      </c>
      <c r="M151" s="24">
        <v>0</v>
      </c>
      <c r="N151" s="22" t="s">
        <v>318</v>
      </c>
      <c r="O151" s="12" t="s">
        <v>384</v>
      </c>
      <c r="P151" s="14" t="s">
        <v>320</v>
      </c>
      <c r="Q151" s="12" t="s">
        <v>232</v>
      </c>
      <c r="R151" s="15" t="s">
        <v>321</v>
      </c>
      <c r="S151" s="22" t="s">
        <v>232</v>
      </c>
      <c r="T151" s="22" t="s">
        <v>232</v>
      </c>
      <c r="U151" s="22" t="s">
        <v>232</v>
      </c>
    </row>
    <row r="152" spans="1:21">
      <c r="A152" s="12" t="s">
        <v>671</v>
      </c>
      <c r="B152" s="12" t="s">
        <v>672</v>
      </c>
      <c r="C152" s="12" t="s">
        <v>673</v>
      </c>
      <c r="D152" s="12" t="s">
        <v>314</v>
      </c>
      <c r="E152" s="23">
        <v>45926</v>
      </c>
      <c r="F152" s="24">
        <v>10500</v>
      </c>
      <c r="G152" s="12" t="s">
        <v>316</v>
      </c>
      <c r="H152" s="14" t="s">
        <v>317</v>
      </c>
      <c r="I152" s="24">
        <v>8898.48</v>
      </c>
      <c r="J152" s="24">
        <v>0</v>
      </c>
      <c r="K152" s="24">
        <v>800.86</v>
      </c>
      <c r="L152" s="24">
        <v>800.86</v>
      </c>
      <c r="M152" s="24">
        <v>0</v>
      </c>
      <c r="N152" s="22" t="s">
        <v>318</v>
      </c>
      <c r="O152" s="12" t="s">
        <v>319</v>
      </c>
      <c r="P152" s="14" t="s">
        <v>320</v>
      </c>
      <c r="Q152" s="12" t="s">
        <v>232</v>
      </c>
      <c r="R152" s="15" t="s">
        <v>321</v>
      </c>
      <c r="S152" s="22" t="s">
        <v>232</v>
      </c>
      <c r="T152" s="22" t="s">
        <v>232</v>
      </c>
      <c r="U152" s="22" t="s">
        <v>232</v>
      </c>
    </row>
    <row r="153" spans="1:21">
      <c r="A153" s="12" t="s">
        <v>674</v>
      </c>
      <c r="B153" s="12" t="s">
        <v>675</v>
      </c>
      <c r="C153" s="12" t="s">
        <v>676</v>
      </c>
      <c r="D153" s="12" t="s">
        <v>314</v>
      </c>
      <c r="E153" s="23">
        <v>45903</v>
      </c>
      <c r="F153" s="24">
        <v>309365</v>
      </c>
      <c r="G153" s="12" t="s">
        <v>316</v>
      </c>
      <c r="H153" s="14" t="s">
        <v>317</v>
      </c>
      <c r="I153" s="24">
        <v>262174</v>
      </c>
      <c r="J153" s="24">
        <v>0</v>
      </c>
      <c r="K153" s="24">
        <v>23595.66</v>
      </c>
      <c r="L153" s="24">
        <v>23595.66</v>
      </c>
      <c r="M153" s="24">
        <v>0</v>
      </c>
      <c r="N153" s="22" t="s">
        <v>318</v>
      </c>
      <c r="O153" s="12" t="s">
        <v>319</v>
      </c>
      <c r="P153" s="14" t="s">
        <v>320</v>
      </c>
      <c r="Q153" s="12" t="s">
        <v>232</v>
      </c>
      <c r="R153" s="15" t="s">
        <v>321</v>
      </c>
      <c r="S153" s="22" t="s">
        <v>322</v>
      </c>
      <c r="T153" s="22" t="s">
        <v>677</v>
      </c>
      <c r="U153" s="22" t="s">
        <v>370</v>
      </c>
    </row>
    <row r="154" spans="1:21">
      <c r="A154" s="12" t="s">
        <v>674</v>
      </c>
      <c r="B154" s="12" t="s">
        <v>675</v>
      </c>
      <c r="C154" s="12" t="s">
        <v>678</v>
      </c>
      <c r="D154" s="12" t="s">
        <v>314</v>
      </c>
      <c r="E154" s="23">
        <v>45926</v>
      </c>
      <c r="F154" s="24">
        <v>104763</v>
      </c>
      <c r="G154" s="12" t="s">
        <v>316</v>
      </c>
      <c r="H154" s="14" t="s">
        <v>317</v>
      </c>
      <c r="I154" s="24">
        <v>88782</v>
      </c>
      <c r="J154" s="24">
        <v>0</v>
      </c>
      <c r="K154" s="24">
        <v>7990.38</v>
      </c>
      <c r="L154" s="24">
        <v>7990.38</v>
      </c>
      <c r="M154" s="24">
        <v>0</v>
      </c>
      <c r="N154" s="22" t="s">
        <v>318</v>
      </c>
      <c r="O154" s="12" t="s">
        <v>319</v>
      </c>
      <c r="P154" s="14" t="s">
        <v>320</v>
      </c>
      <c r="Q154" s="12" t="s">
        <v>232</v>
      </c>
      <c r="R154" s="15" t="s">
        <v>321</v>
      </c>
      <c r="S154" s="22" t="s">
        <v>322</v>
      </c>
      <c r="T154" s="22" t="s">
        <v>679</v>
      </c>
      <c r="U154" s="22" t="s">
        <v>327</v>
      </c>
    </row>
    <row r="155" spans="1:21">
      <c r="A155" s="12" t="s">
        <v>680</v>
      </c>
      <c r="B155" s="27" t="s">
        <v>681</v>
      </c>
      <c r="C155" s="12" t="s">
        <v>682</v>
      </c>
      <c r="D155" s="12" t="s">
        <v>314</v>
      </c>
      <c r="E155" s="23">
        <v>45910</v>
      </c>
      <c r="F155" s="24">
        <v>6000</v>
      </c>
      <c r="G155" s="12" t="s">
        <v>316</v>
      </c>
      <c r="H155" s="14" t="s">
        <v>317</v>
      </c>
      <c r="I155" s="24">
        <v>5714</v>
      </c>
      <c r="J155" s="24">
        <v>0</v>
      </c>
      <c r="K155" s="24">
        <v>142.85</v>
      </c>
      <c r="L155" s="24">
        <v>142.85</v>
      </c>
      <c r="M155" s="24">
        <v>0</v>
      </c>
      <c r="N155" s="22" t="s">
        <v>318</v>
      </c>
      <c r="O155" s="12" t="s">
        <v>439</v>
      </c>
      <c r="P155" s="14" t="s">
        <v>320</v>
      </c>
      <c r="Q155" s="12" t="s">
        <v>232</v>
      </c>
      <c r="R155" s="15" t="s">
        <v>321</v>
      </c>
      <c r="S155" s="22" t="s">
        <v>322</v>
      </c>
      <c r="T155" s="22" t="s">
        <v>683</v>
      </c>
      <c r="U155" s="22" t="s">
        <v>354</v>
      </c>
    </row>
    <row r="156" spans="1:21">
      <c r="A156" s="12" t="s">
        <v>684</v>
      </c>
      <c r="B156" s="12" t="s">
        <v>685</v>
      </c>
      <c r="C156" s="12" t="s">
        <v>686</v>
      </c>
      <c r="D156" s="12" t="s">
        <v>314</v>
      </c>
      <c r="E156" s="23">
        <v>45920</v>
      </c>
      <c r="F156" s="24">
        <v>57574</v>
      </c>
      <c r="G156" s="12" t="s">
        <v>316</v>
      </c>
      <c r="H156" s="14" t="s">
        <v>317</v>
      </c>
      <c r="I156" s="24">
        <v>48791.8</v>
      </c>
      <c r="J156" s="24">
        <v>8782.52</v>
      </c>
      <c r="K156" s="24">
        <v>0</v>
      </c>
      <c r="L156" s="24">
        <v>0</v>
      </c>
      <c r="M156" s="24">
        <v>0</v>
      </c>
      <c r="N156" s="22" t="s">
        <v>318</v>
      </c>
      <c r="O156" s="12" t="s">
        <v>492</v>
      </c>
      <c r="P156" s="14" t="s">
        <v>320</v>
      </c>
      <c r="Q156" s="12" t="s">
        <v>232</v>
      </c>
      <c r="R156" s="15" t="s">
        <v>321</v>
      </c>
      <c r="S156" s="22" t="s">
        <v>232</v>
      </c>
      <c r="T156" s="22" t="s">
        <v>232</v>
      </c>
      <c r="U156" s="22" t="s">
        <v>232</v>
      </c>
    </row>
    <row r="157" spans="1:21">
      <c r="A157" s="12" t="s">
        <v>684</v>
      </c>
      <c r="B157" s="12" t="s">
        <v>685</v>
      </c>
      <c r="C157" s="12" t="s">
        <v>687</v>
      </c>
      <c r="D157" s="12" t="s">
        <v>314</v>
      </c>
      <c r="E157" s="23">
        <v>45920</v>
      </c>
      <c r="F157" s="24">
        <v>50168</v>
      </c>
      <c r="G157" s="12" t="s">
        <v>316</v>
      </c>
      <c r="H157" s="14" t="s">
        <v>317</v>
      </c>
      <c r="I157" s="24">
        <v>42515.26</v>
      </c>
      <c r="J157" s="24">
        <v>7652.75</v>
      </c>
      <c r="K157" s="24">
        <v>0</v>
      </c>
      <c r="L157" s="24">
        <v>0</v>
      </c>
      <c r="M157" s="24">
        <v>0</v>
      </c>
      <c r="N157" s="22" t="s">
        <v>318</v>
      </c>
      <c r="O157" s="12" t="s">
        <v>492</v>
      </c>
      <c r="P157" s="14" t="s">
        <v>320</v>
      </c>
      <c r="Q157" s="12" t="s">
        <v>232</v>
      </c>
      <c r="R157" s="15" t="s">
        <v>321</v>
      </c>
      <c r="S157" s="22" t="s">
        <v>232</v>
      </c>
      <c r="T157" s="22" t="s">
        <v>232</v>
      </c>
      <c r="U157" s="22" t="s">
        <v>232</v>
      </c>
    </row>
    <row r="158" spans="1:21">
      <c r="A158" s="12" t="s">
        <v>688</v>
      </c>
      <c r="B158" s="12" t="s">
        <v>689</v>
      </c>
      <c r="C158" s="12" t="s">
        <v>690</v>
      </c>
      <c r="D158" s="12" t="s">
        <v>314</v>
      </c>
      <c r="E158" s="23">
        <v>45911</v>
      </c>
      <c r="F158" s="24">
        <v>5428</v>
      </c>
      <c r="G158" s="12" t="s">
        <v>316</v>
      </c>
      <c r="H158" s="14" t="s">
        <v>317</v>
      </c>
      <c r="I158" s="24">
        <v>4600</v>
      </c>
      <c r="J158" s="24">
        <v>0</v>
      </c>
      <c r="K158" s="24">
        <v>414</v>
      </c>
      <c r="L158" s="24">
        <v>414</v>
      </c>
      <c r="M158" s="24">
        <v>0</v>
      </c>
      <c r="N158" s="22" t="s">
        <v>318</v>
      </c>
      <c r="O158" s="12" t="s">
        <v>384</v>
      </c>
      <c r="P158" s="14" t="s">
        <v>320</v>
      </c>
      <c r="Q158" s="12" t="s">
        <v>232</v>
      </c>
      <c r="R158" s="15" t="s">
        <v>321</v>
      </c>
      <c r="S158" s="22" t="s">
        <v>232</v>
      </c>
      <c r="T158" s="22" t="s">
        <v>232</v>
      </c>
      <c r="U158" s="22" t="s">
        <v>232</v>
      </c>
    </row>
    <row r="159" spans="1:21">
      <c r="A159" s="12" t="s">
        <v>691</v>
      </c>
      <c r="B159" s="12" t="s">
        <v>692</v>
      </c>
      <c r="C159" s="12" t="s">
        <v>693</v>
      </c>
      <c r="D159" s="12" t="s">
        <v>314</v>
      </c>
      <c r="E159" s="23">
        <v>45913</v>
      </c>
      <c r="F159" s="24">
        <v>89600</v>
      </c>
      <c r="G159" s="12" t="s">
        <v>316</v>
      </c>
      <c r="H159" s="14" t="s">
        <v>317</v>
      </c>
      <c r="I159" s="24">
        <v>80000</v>
      </c>
      <c r="J159" s="24">
        <v>9600</v>
      </c>
      <c r="K159" s="24">
        <v>0</v>
      </c>
      <c r="L159" s="24">
        <v>0</v>
      </c>
      <c r="M159" s="24">
        <v>0</v>
      </c>
      <c r="N159" s="22" t="s">
        <v>318</v>
      </c>
      <c r="O159" s="12" t="s">
        <v>319</v>
      </c>
      <c r="P159" s="14" t="s">
        <v>320</v>
      </c>
      <c r="Q159" s="12" t="s">
        <v>232</v>
      </c>
      <c r="R159" s="15" t="s">
        <v>321</v>
      </c>
      <c r="S159" s="22" t="s">
        <v>322</v>
      </c>
      <c r="T159" s="22" t="s">
        <v>694</v>
      </c>
      <c r="U159" s="22" t="s">
        <v>451</v>
      </c>
    </row>
    <row r="160" spans="1:21">
      <c r="A160" s="12" t="s">
        <v>695</v>
      </c>
      <c r="B160" s="12" t="s">
        <v>696</v>
      </c>
      <c r="C160" s="12" t="s">
        <v>697</v>
      </c>
      <c r="D160" s="12" t="s">
        <v>314</v>
      </c>
      <c r="E160" s="23">
        <v>45871</v>
      </c>
      <c r="F160" s="24">
        <v>130399</v>
      </c>
      <c r="G160" s="12" t="s">
        <v>316</v>
      </c>
      <c r="H160" s="14" t="s">
        <v>317</v>
      </c>
      <c r="I160" s="24">
        <v>110508</v>
      </c>
      <c r="J160" s="24">
        <v>0</v>
      </c>
      <c r="K160" s="24">
        <v>9945.73</v>
      </c>
      <c r="L160" s="24">
        <v>9945.73</v>
      </c>
      <c r="M160" s="24">
        <v>0</v>
      </c>
      <c r="N160" s="22" t="s">
        <v>411</v>
      </c>
      <c r="O160" s="12" t="s">
        <v>451</v>
      </c>
      <c r="P160" s="14" t="s">
        <v>320</v>
      </c>
      <c r="Q160" s="12" t="s">
        <v>232</v>
      </c>
      <c r="R160" s="15" t="s">
        <v>321</v>
      </c>
      <c r="S160" s="22" t="s">
        <v>232</v>
      </c>
      <c r="T160" s="22" t="s">
        <v>232</v>
      </c>
      <c r="U160" s="22" t="s">
        <v>232</v>
      </c>
    </row>
    <row r="161" spans="1:21">
      <c r="A161" s="12" t="s">
        <v>698</v>
      </c>
      <c r="B161" s="12" t="s">
        <v>699</v>
      </c>
      <c r="C161" s="12" t="s">
        <v>700</v>
      </c>
      <c r="D161" s="12" t="s">
        <v>314</v>
      </c>
      <c r="E161" s="23">
        <v>45906</v>
      </c>
      <c r="F161" s="24">
        <v>579362</v>
      </c>
      <c r="G161" s="12" t="s">
        <v>316</v>
      </c>
      <c r="H161" s="14" t="s">
        <v>317</v>
      </c>
      <c r="I161" s="24">
        <v>490985.06</v>
      </c>
      <c r="J161" s="24">
        <v>88377.34</v>
      </c>
      <c r="K161" s="24">
        <v>0</v>
      </c>
      <c r="L161" s="24">
        <v>0</v>
      </c>
      <c r="M161" s="24">
        <v>0</v>
      </c>
      <c r="N161" s="22" t="s">
        <v>318</v>
      </c>
      <c r="O161" s="12" t="s">
        <v>395</v>
      </c>
      <c r="P161" s="14" t="s">
        <v>320</v>
      </c>
      <c r="Q161" s="12" t="s">
        <v>232</v>
      </c>
      <c r="R161" s="15" t="s">
        <v>321</v>
      </c>
      <c r="S161" s="22" t="s">
        <v>322</v>
      </c>
      <c r="T161" s="22" t="s">
        <v>701</v>
      </c>
      <c r="U161" s="22" t="s">
        <v>446</v>
      </c>
    </row>
    <row r="162" spans="1:21">
      <c r="A162" s="12" t="s">
        <v>698</v>
      </c>
      <c r="B162" s="12" t="s">
        <v>699</v>
      </c>
      <c r="C162" s="12" t="s">
        <v>702</v>
      </c>
      <c r="D162" s="12" t="s">
        <v>314</v>
      </c>
      <c r="E162" s="23">
        <v>45906</v>
      </c>
      <c r="F162" s="24">
        <v>193037</v>
      </c>
      <c r="G162" s="12" t="s">
        <v>316</v>
      </c>
      <c r="H162" s="14" t="s">
        <v>317</v>
      </c>
      <c r="I162" s="24">
        <v>163590.35</v>
      </c>
      <c r="J162" s="24">
        <v>29446.27</v>
      </c>
      <c r="K162" s="24">
        <v>0</v>
      </c>
      <c r="L162" s="24">
        <v>0</v>
      </c>
      <c r="M162" s="24">
        <v>0</v>
      </c>
      <c r="N162" s="22" t="s">
        <v>318</v>
      </c>
      <c r="O162" s="12" t="s">
        <v>395</v>
      </c>
      <c r="P162" s="14" t="s">
        <v>320</v>
      </c>
      <c r="Q162" s="12" t="s">
        <v>232</v>
      </c>
      <c r="R162" s="15" t="s">
        <v>321</v>
      </c>
      <c r="S162" s="22" t="s">
        <v>322</v>
      </c>
      <c r="T162" s="22" t="s">
        <v>703</v>
      </c>
      <c r="U162" s="22" t="s">
        <v>446</v>
      </c>
    </row>
    <row r="163" spans="1:21">
      <c r="A163" s="12" t="s">
        <v>698</v>
      </c>
      <c r="B163" s="12" t="s">
        <v>699</v>
      </c>
      <c r="C163" s="12" t="s">
        <v>704</v>
      </c>
      <c r="D163" s="12" t="s">
        <v>314</v>
      </c>
      <c r="E163" s="23">
        <v>45923</v>
      </c>
      <c r="F163" s="24">
        <v>85032</v>
      </c>
      <c r="G163" s="12" t="s">
        <v>316</v>
      </c>
      <c r="H163" s="14" t="s">
        <v>317</v>
      </c>
      <c r="I163" s="24">
        <v>72061.100000000006</v>
      </c>
      <c r="J163" s="24">
        <v>12971</v>
      </c>
      <c r="K163" s="24">
        <v>0</v>
      </c>
      <c r="L163" s="24">
        <v>0</v>
      </c>
      <c r="M163" s="24">
        <v>0</v>
      </c>
      <c r="N163" s="22" t="s">
        <v>318</v>
      </c>
      <c r="O163" s="12" t="s">
        <v>395</v>
      </c>
      <c r="P163" s="14" t="s">
        <v>320</v>
      </c>
      <c r="Q163" s="12" t="s">
        <v>232</v>
      </c>
      <c r="R163" s="15" t="s">
        <v>321</v>
      </c>
      <c r="S163" s="22" t="s">
        <v>322</v>
      </c>
      <c r="T163" s="22" t="s">
        <v>705</v>
      </c>
      <c r="U163" s="22" t="s">
        <v>588</v>
      </c>
    </row>
    <row r="164" spans="1:21">
      <c r="A164" s="12" t="s">
        <v>698</v>
      </c>
      <c r="B164" s="12" t="s">
        <v>699</v>
      </c>
      <c r="C164" s="12" t="s">
        <v>706</v>
      </c>
      <c r="D164" s="12" t="s">
        <v>314</v>
      </c>
      <c r="E164" s="23">
        <v>45923</v>
      </c>
      <c r="F164" s="24">
        <v>702254</v>
      </c>
      <c r="G164" s="12" t="s">
        <v>316</v>
      </c>
      <c r="H164" s="14" t="s">
        <v>317</v>
      </c>
      <c r="I164" s="24">
        <v>595130.89</v>
      </c>
      <c r="J164" s="24">
        <v>107123.55</v>
      </c>
      <c r="K164" s="24">
        <v>0</v>
      </c>
      <c r="L164" s="24">
        <v>0</v>
      </c>
      <c r="M164" s="24">
        <v>0</v>
      </c>
      <c r="N164" s="22" t="s">
        <v>318</v>
      </c>
      <c r="O164" s="12" t="s">
        <v>395</v>
      </c>
      <c r="P164" s="14" t="s">
        <v>320</v>
      </c>
      <c r="Q164" s="12" t="s">
        <v>232</v>
      </c>
      <c r="R164" s="15" t="s">
        <v>321</v>
      </c>
      <c r="S164" s="22" t="s">
        <v>322</v>
      </c>
      <c r="T164" s="22" t="s">
        <v>707</v>
      </c>
      <c r="U164" s="22" t="s">
        <v>588</v>
      </c>
    </row>
    <row r="165" spans="1:21">
      <c r="A165" s="12" t="s">
        <v>698</v>
      </c>
      <c r="B165" s="12" t="s">
        <v>699</v>
      </c>
      <c r="C165" s="12" t="s">
        <v>708</v>
      </c>
      <c r="D165" s="12" t="s">
        <v>314</v>
      </c>
      <c r="E165" s="23">
        <v>45930</v>
      </c>
      <c r="F165" s="24">
        <v>96336</v>
      </c>
      <c r="G165" s="12" t="s">
        <v>316</v>
      </c>
      <c r="H165" s="14" t="s">
        <v>317</v>
      </c>
      <c r="I165" s="24">
        <v>81640.5</v>
      </c>
      <c r="J165" s="24">
        <v>14695.29</v>
      </c>
      <c r="K165" s="24">
        <v>0</v>
      </c>
      <c r="L165" s="24">
        <v>0</v>
      </c>
      <c r="M165" s="24">
        <v>0</v>
      </c>
      <c r="N165" s="22" t="s">
        <v>318</v>
      </c>
      <c r="O165" s="12" t="s">
        <v>395</v>
      </c>
      <c r="P165" s="14" t="s">
        <v>320</v>
      </c>
      <c r="Q165" s="12" t="s">
        <v>232</v>
      </c>
      <c r="R165" s="15" t="s">
        <v>321</v>
      </c>
      <c r="S165" s="22" t="s">
        <v>322</v>
      </c>
      <c r="T165" s="22" t="s">
        <v>709</v>
      </c>
      <c r="U165" s="22" t="s">
        <v>423</v>
      </c>
    </row>
    <row r="166" spans="1:21">
      <c r="A166" s="12" t="s">
        <v>710</v>
      </c>
      <c r="B166" s="12" t="s">
        <v>711</v>
      </c>
      <c r="C166" s="12" t="s">
        <v>712</v>
      </c>
      <c r="D166" s="12" t="s">
        <v>314</v>
      </c>
      <c r="E166" s="23">
        <v>45921</v>
      </c>
      <c r="F166" s="24">
        <v>388116</v>
      </c>
      <c r="G166" s="12" t="s">
        <v>316</v>
      </c>
      <c r="H166" s="14" t="s">
        <v>317</v>
      </c>
      <c r="I166" s="24">
        <v>328912</v>
      </c>
      <c r="J166" s="24">
        <v>59204.160000000003</v>
      </c>
      <c r="K166" s="24">
        <v>0</v>
      </c>
      <c r="L166" s="24">
        <v>0</v>
      </c>
      <c r="M166" s="24">
        <v>0</v>
      </c>
      <c r="N166" s="22" t="s">
        <v>318</v>
      </c>
      <c r="O166" s="12" t="s">
        <v>395</v>
      </c>
      <c r="P166" s="14" t="s">
        <v>320</v>
      </c>
      <c r="Q166" s="12" t="s">
        <v>232</v>
      </c>
      <c r="R166" s="15" t="s">
        <v>321</v>
      </c>
      <c r="S166" s="22" t="s">
        <v>232</v>
      </c>
      <c r="T166" s="22" t="s">
        <v>232</v>
      </c>
      <c r="U166" s="22" t="s">
        <v>232</v>
      </c>
    </row>
    <row r="167" spans="1:21">
      <c r="A167" s="12" t="s">
        <v>710</v>
      </c>
      <c r="B167" s="12" t="s">
        <v>711</v>
      </c>
      <c r="C167" s="12" t="s">
        <v>713</v>
      </c>
      <c r="D167" s="12" t="s">
        <v>314</v>
      </c>
      <c r="E167" s="23">
        <v>45929</v>
      </c>
      <c r="F167" s="24">
        <v>188978</v>
      </c>
      <c r="G167" s="12" t="s">
        <v>316</v>
      </c>
      <c r="H167" s="14" t="s">
        <v>317</v>
      </c>
      <c r="I167" s="24">
        <v>160151</v>
      </c>
      <c r="J167" s="24">
        <v>28827.18</v>
      </c>
      <c r="K167" s="24">
        <v>0</v>
      </c>
      <c r="L167" s="24">
        <v>0</v>
      </c>
      <c r="M167" s="24">
        <v>0</v>
      </c>
      <c r="N167" s="22" t="s">
        <v>318</v>
      </c>
      <c r="O167" s="12" t="s">
        <v>395</v>
      </c>
      <c r="P167" s="14" t="s">
        <v>320</v>
      </c>
      <c r="Q167" s="12" t="s">
        <v>232</v>
      </c>
      <c r="R167" s="15" t="s">
        <v>321</v>
      </c>
      <c r="S167" s="22" t="s">
        <v>232</v>
      </c>
      <c r="T167" s="22" t="s">
        <v>232</v>
      </c>
      <c r="U167" s="22" t="s">
        <v>232</v>
      </c>
    </row>
    <row r="168" spans="1:21">
      <c r="A168" s="12" t="s">
        <v>710</v>
      </c>
      <c r="B168" s="12" t="s">
        <v>711</v>
      </c>
      <c r="C168" s="12" t="s">
        <v>714</v>
      </c>
      <c r="D168" s="12" t="s">
        <v>314</v>
      </c>
      <c r="E168" s="23">
        <v>45929</v>
      </c>
      <c r="F168" s="24">
        <v>1848</v>
      </c>
      <c r="G168" s="12" t="s">
        <v>316</v>
      </c>
      <c r="H168" s="14" t="s">
        <v>317</v>
      </c>
      <c r="I168" s="24">
        <v>1566</v>
      </c>
      <c r="J168" s="24">
        <v>281.88</v>
      </c>
      <c r="K168" s="24">
        <v>0</v>
      </c>
      <c r="L168" s="24">
        <v>0</v>
      </c>
      <c r="M168" s="24">
        <v>0</v>
      </c>
      <c r="N168" s="22" t="s">
        <v>318</v>
      </c>
      <c r="O168" s="12" t="s">
        <v>395</v>
      </c>
      <c r="P168" s="14" t="s">
        <v>320</v>
      </c>
      <c r="Q168" s="12" t="s">
        <v>232</v>
      </c>
      <c r="R168" s="15" t="s">
        <v>321</v>
      </c>
      <c r="S168" s="22" t="s">
        <v>232</v>
      </c>
      <c r="T168" s="22" t="s">
        <v>232</v>
      </c>
      <c r="U168" s="22" t="s">
        <v>232</v>
      </c>
    </row>
    <row r="169" spans="1:21">
      <c r="A169" s="12" t="s">
        <v>710</v>
      </c>
      <c r="B169" s="12" t="s">
        <v>711</v>
      </c>
      <c r="C169" s="12" t="s">
        <v>715</v>
      </c>
      <c r="D169" s="12" t="s">
        <v>314</v>
      </c>
      <c r="E169" s="23">
        <v>45929</v>
      </c>
      <c r="F169" s="24">
        <v>85668</v>
      </c>
      <c r="G169" s="12" t="s">
        <v>316</v>
      </c>
      <c r="H169" s="14" t="s">
        <v>317</v>
      </c>
      <c r="I169" s="24">
        <v>72600</v>
      </c>
      <c r="J169" s="24">
        <v>13068</v>
      </c>
      <c r="K169" s="24">
        <v>0</v>
      </c>
      <c r="L169" s="24">
        <v>0</v>
      </c>
      <c r="M169" s="24">
        <v>0</v>
      </c>
      <c r="N169" s="22" t="s">
        <v>318</v>
      </c>
      <c r="O169" s="12" t="s">
        <v>395</v>
      </c>
      <c r="P169" s="14" t="s">
        <v>320</v>
      </c>
      <c r="Q169" s="12" t="s">
        <v>232</v>
      </c>
      <c r="R169" s="15" t="s">
        <v>321</v>
      </c>
      <c r="S169" s="22" t="s">
        <v>232</v>
      </c>
      <c r="T169" s="22" t="s">
        <v>232</v>
      </c>
      <c r="U169" s="22" t="s">
        <v>232</v>
      </c>
    </row>
    <row r="170" spans="1:21">
      <c r="A170" s="12" t="s">
        <v>710</v>
      </c>
      <c r="B170" s="12" t="s">
        <v>711</v>
      </c>
      <c r="C170" s="12" t="s">
        <v>716</v>
      </c>
      <c r="D170" s="12" t="s">
        <v>314</v>
      </c>
      <c r="E170" s="23">
        <v>45928</v>
      </c>
      <c r="F170" s="24">
        <v>317501</v>
      </c>
      <c r="G170" s="12" t="s">
        <v>316</v>
      </c>
      <c r="H170" s="14" t="s">
        <v>317</v>
      </c>
      <c r="I170" s="24">
        <v>269069</v>
      </c>
      <c r="J170" s="24">
        <v>48432.42</v>
      </c>
      <c r="K170" s="24">
        <v>0</v>
      </c>
      <c r="L170" s="24">
        <v>0</v>
      </c>
      <c r="M170" s="24">
        <v>0</v>
      </c>
      <c r="N170" s="22" t="s">
        <v>318</v>
      </c>
      <c r="O170" s="12" t="s">
        <v>395</v>
      </c>
      <c r="P170" s="14" t="s">
        <v>320</v>
      </c>
      <c r="Q170" s="12" t="s">
        <v>232</v>
      </c>
      <c r="R170" s="15" t="s">
        <v>321</v>
      </c>
      <c r="S170" s="22" t="s">
        <v>232</v>
      </c>
      <c r="T170" s="22" t="s">
        <v>232</v>
      </c>
      <c r="U170" s="22" t="s">
        <v>232</v>
      </c>
    </row>
    <row r="171" spans="1:21">
      <c r="A171" s="12" t="s">
        <v>710</v>
      </c>
      <c r="B171" s="12" t="s">
        <v>711</v>
      </c>
      <c r="C171" s="12" t="s">
        <v>717</v>
      </c>
      <c r="D171" s="12" t="s">
        <v>314</v>
      </c>
      <c r="E171" s="23">
        <v>45921</v>
      </c>
      <c r="F171" s="24">
        <v>152609</v>
      </c>
      <c r="G171" s="12" t="s">
        <v>316</v>
      </c>
      <c r="H171" s="14" t="s">
        <v>317</v>
      </c>
      <c r="I171" s="24">
        <v>129330</v>
      </c>
      <c r="J171" s="24">
        <v>23279.4</v>
      </c>
      <c r="K171" s="24">
        <v>0</v>
      </c>
      <c r="L171" s="24">
        <v>0</v>
      </c>
      <c r="M171" s="24">
        <v>0</v>
      </c>
      <c r="N171" s="22" t="s">
        <v>318</v>
      </c>
      <c r="O171" s="12" t="s">
        <v>395</v>
      </c>
      <c r="P171" s="14" t="s">
        <v>320</v>
      </c>
      <c r="Q171" s="12" t="s">
        <v>232</v>
      </c>
      <c r="R171" s="15" t="s">
        <v>321</v>
      </c>
      <c r="S171" s="22" t="s">
        <v>232</v>
      </c>
      <c r="T171" s="22" t="s">
        <v>232</v>
      </c>
      <c r="U171" s="22" t="s">
        <v>232</v>
      </c>
    </row>
    <row r="172" spans="1:21">
      <c r="A172" s="12" t="s">
        <v>710</v>
      </c>
      <c r="B172" s="12" t="s">
        <v>711</v>
      </c>
      <c r="C172" s="12" t="s">
        <v>718</v>
      </c>
      <c r="D172" s="12" t="s">
        <v>314</v>
      </c>
      <c r="E172" s="23">
        <v>45929</v>
      </c>
      <c r="F172" s="24">
        <v>2111</v>
      </c>
      <c r="G172" s="12" t="s">
        <v>316</v>
      </c>
      <c r="H172" s="14" t="s">
        <v>317</v>
      </c>
      <c r="I172" s="24">
        <v>1789</v>
      </c>
      <c r="J172" s="24">
        <v>322.02</v>
      </c>
      <c r="K172" s="24">
        <v>0</v>
      </c>
      <c r="L172" s="24">
        <v>0</v>
      </c>
      <c r="M172" s="24">
        <v>0</v>
      </c>
      <c r="N172" s="22" t="s">
        <v>318</v>
      </c>
      <c r="O172" s="12" t="s">
        <v>395</v>
      </c>
      <c r="P172" s="14" t="s">
        <v>320</v>
      </c>
      <c r="Q172" s="12" t="s">
        <v>232</v>
      </c>
      <c r="R172" s="15" t="s">
        <v>321</v>
      </c>
      <c r="S172" s="22" t="s">
        <v>232</v>
      </c>
      <c r="T172" s="22" t="s">
        <v>232</v>
      </c>
      <c r="U172" s="22" t="s">
        <v>232</v>
      </c>
    </row>
    <row r="173" spans="1:21">
      <c r="A173" s="12" t="s">
        <v>710</v>
      </c>
      <c r="B173" s="12" t="s">
        <v>711</v>
      </c>
      <c r="C173" s="12" t="s">
        <v>719</v>
      </c>
      <c r="D173" s="12" t="s">
        <v>314</v>
      </c>
      <c r="E173" s="23">
        <v>45929</v>
      </c>
      <c r="F173" s="24">
        <v>170397</v>
      </c>
      <c r="G173" s="12" t="s">
        <v>316</v>
      </c>
      <c r="H173" s="14" t="s">
        <v>317</v>
      </c>
      <c r="I173" s="24">
        <v>144404</v>
      </c>
      <c r="J173" s="24">
        <v>25992.720000000001</v>
      </c>
      <c r="K173" s="24">
        <v>0</v>
      </c>
      <c r="L173" s="24">
        <v>0</v>
      </c>
      <c r="M173" s="24">
        <v>0</v>
      </c>
      <c r="N173" s="22" t="s">
        <v>318</v>
      </c>
      <c r="O173" s="12" t="s">
        <v>395</v>
      </c>
      <c r="P173" s="14" t="s">
        <v>320</v>
      </c>
      <c r="Q173" s="12" t="s">
        <v>232</v>
      </c>
      <c r="R173" s="15" t="s">
        <v>321</v>
      </c>
      <c r="S173" s="22" t="s">
        <v>232</v>
      </c>
      <c r="T173" s="22" t="s">
        <v>232</v>
      </c>
      <c r="U173" s="22" t="s">
        <v>232</v>
      </c>
    </row>
    <row r="174" spans="1:21">
      <c r="A174" s="12" t="s">
        <v>720</v>
      </c>
      <c r="B174" s="12" t="s">
        <v>721</v>
      </c>
      <c r="C174" s="12" t="s">
        <v>722</v>
      </c>
      <c r="D174" s="12" t="s">
        <v>314</v>
      </c>
      <c r="E174" s="23">
        <v>45920</v>
      </c>
      <c r="F174" s="24">
        <v>399855</v>
      </c>
      <c r="G174" s="12" t="s">
        <v>316</v>
      </c>
      <c r="H174" s="14" t="s">
        <v>317</v>
      </c>
      <c r="I174" s="24">
        <v>312387</v>
      </c>
      <c r="J174" s="24">
        <v>0</v>
      </c>
      <c r="K174" s="24">
        <v>43734.18</v>
      </c>
      <c r="L174" s="24">
        <v>43734.18</v>
      </c>
      <c r="M174" s="24">
        <v>0</v>
      </c>
      <c r="N174" s="22" t="s">
        <v>318</v>
      </c>
      <c r="O174" s="12" t="s">
        <v>384</v>
      </c>
      <c r="P174" s="14" t="s">
        <v>320</v>
      </c>
      <c r="Q174" s="12" t="s">
        <v>232</v>
      </c>
      <c r="R174" s="15" t="s">
        <v>321</v>
      </c>
      <c r="S174" s="22" t="s">
        <v>322</v>
      </c>
      <c r="T174" s="22" t="s">
        <v>723</v>
      </c>
      <c r="U174" s="22" t="s">
        <v>451</v>
      </c>
    </row>
    <row r="175" spans="1:21">
      <c r="A175" s="12" t="s">
        <v>720</v>
      </c>
      <c r="B175" s="12" t="s">
        <v>721</v>
      </c>
      <c r="C175" s="12" t="s">
        <v>724</v>
      </c>
      <c r="D175" s="12" t="s">
        <v>314</v>
      </c>
      <c r="E175" s="23">
        <v>45920</v>
      </c>
      <c r="F175" s="24">
        <v>285857</v>
      </c>
      <c r="G175" s="12" t="s">
        <v>316</v>
      </c>
      <c r="H175" s="14" t="s">
        <v>317</v>
      </c>
      <c r="I175" s="24">
        <v>242252</v>
      </c>
      <c r="J175" s="24">
        <v>0</v>
      </c>
      <c r="K175" s="24">
        <v>21802.68</v>
      </c>
      <c r="L175" s="24">
        <v>21802.68</v>
      </c>
      <c r="M175" s="24">
        <v>0</v>
      </c>
      <c r="N175" s="22" t="s">
        <v>318</v>
      </c>
      <c r="O175" s="12" t="s">
        <v>384</v>
      </c>
      <c r="P175" s="14" t="s">
        <v>320</v>
      </c>
      <c r="Q175" s="12" t="s">
        <v>232</v>
      </c>
      <c r="R175" s="15" t="s">
        <v>321</v>
      </c>
      <c r="S175" s="22" t="s">
        <v>322</v>
      </c>
      <c r="T175" s="22" t="s">
        <v>725</v>
      </c>
      <c r="U175" s="22" t="s">
        <v>451</v>
      </c>
    </row>
    <row r="176" spans="1:21">
      <c r="A176" s="12" t="s">
        <v>726</v>
      </c>
      <c r="B176" s="12" t="s">
        <v>727</v>
      </c>
      <c r="C176" s="12" t="s">
        <v>728</v>
      </c>
      <c r="D176" s="12" t="s">
        <v>314</v>
      </c>
      <c r="E176" s="23">
        <v>45921</v>
      </c>
      <c r="F176" s="24">
        <v>113280</v>
      </c>
      <c r="G176" s="12" t="s">
        <v>316</v>
      </c>
      <c r="H176" s="14" t="s">
        <v>317</v>
      </c>
      <c r="I176" s="24">
        <v>96000</v>
      </c>
      <c r="J176" s="24">
        <v>17280</v>
      </c>
      <c r="K176" s="24">
        <v>0</v>
      </c>
      <c r="L176" s="24">
        <v>0</v>
      </c>
      <c r="M176" s="24">
        <v>0</v>
      </c>
      <c r="N176" s="22" t="s">
        <v>318</v>
      </c>
      <c r="O176" s="12" t="s">
        <v>439</v>
      </c>
      <c r="P176" s="14" t="s">
        <v>320</v>
      </c>
      <c r="Q176" s="12" t="s">
        <v>232</v>
      </c>
      <c r="R176" s="15" t="s">
        <v>321</v>
      </c>
      <c r="S176" s="22" t="s">
        <v>232</v>
      </c>
      <c r="T176" s="22" t="s">
        <v>232</v>
      </c>
      <c r="U176" s="22" t="s">
        <v>232</v>
      </c>
    </row>
    <row r="177" spans="1:21">
      <c r="A177" s="12" t="s">
        <v>729</v>
      </c>
      <c r="B177" s="12" t="s">
        <v>730</v>
      </c>
      <c r="C177" s="12" t="s">
        <v>731</v>
      </c>
      <c r="D177" s="12" t="s">
        <v>314</v>
      </c>
      <c r="E177" s="23">
        <v>45902</v>
      </c>
      <c r="F177" s="24">
        <v>13396</v>
      </c>
      <c r="G177" s="12" t="s">
        <v>316</v>
      </c>
      <c r="H177" s="14" t="s">
        <v>317</v>
      </c>
      <c r="I177" s="24">
        <v>12758</v>
      </c>
      <c r="J177" s="24">
        <v>637.9</v>
      </c>
      <c r="K177" s="24">
        <v>0</v>
      </c>
      <c r="L177" s="24">
        <v>0</v>
      </c>
      <c r="M177" s="24">
        <v>0</v>
      </c>
      <c r="N177" s="22" t="s">
        <v>318</v>
      </c>
      <c r="O177" s="12" t="s">
        <v>362</v>
      </c>
      <c r="P177" s="14" t="s">
        <v>320</v>
      </c>
      <c r="Q177" s="12" t="s">
        <v>232</v>
      </c>
      <c r="R177" s="15" t="s">
        <v>321</v>
      </c>
      <c r="S177" s="22" t="s">
        <v>322</v>
      </c>
      <c r="T177" s="22" t="s">
        <v>732</v>
      </c>
      <c r="U177" s="22" t="s">
        <v>345</v>
      </c>
    </row>
    <row r="178" spans="1:21">
      <c r="A178" s="12" t="s">
        <v>733</v>
      </c>
      <c r="B178" s="12" t="s">
        <v>734</v>
      </c>
      <c r="C178" s="12" t="s">
        <v>735</v>
      </c>
      <c r="D178" s="12" t="s">
        <v>314</v>
      </c>
      <c r="E178" s="23">
        <v>45915</v>
      </c>
      <c r="F178" s="24">
        <v>10020</v>
      </c>
      <c r="G178" s="12" t="s">
        <v>316</v>
      </c>
      <c r="H178" s="14" t="s">
        <v>317</v>
      </c>
      <c r="I178" s="24">
        <v>8491.52</v>
      </c>
      <c r="J178" s="24">
        <v>0</v>
      </c>
      <c r="K178" s="24">
        <v>764.24</v>
      </c>
      <c r="L178" s="24">
        <v>764.24</v>
      </c>
      <c r="M178" s="24">
        <v>0</v>
      </c>
      <c r="N178" s="22" t="s">
        <v>318</v>
      </c>
      <c r="O178" s="12" t="s">
        <v>384</v>
      </c>
      <c r="P178" s="14" t="s">
        <v>320</v>
      </c>
      <c r="Q178" s="12" t="s">
        <v>232</v>
      </c>
      <c r="R178" s="15" t="s">
        <v>321</v>
      </c>
      <c r="S178" s="22" t="s">
        <v>322</v>
      </c>
      <c r="T178" s="22" t="s">
        <v>736</v>
      </c>
      <c r="U178" s="22" t="s">
        <v>332</v>
      </c>
    </row>
    <row r="179" spans="1:21">
      <c r="A179" s="12" t="s">
        <v>733</v>
      </c>
      <c r="B179" s="12" t="s">
        <v>734</v>
      </c>
      <c r="C179" s="12" t="s">
        <v>737</v>
      </c>
      <c r="D179" s="12" t="s">
        <v>314</v>
      </c>
      <c r="E179" s="23">
        <v>45923</v>
      </c>
      <c r="F179" s="24">
        <v>22435</v>
      </c>
      <c r="G179" s="12" t="s">
        <v>316</v>
      </c>
      <c r="H179" s="14" t="s">
        <v>317</v>
      </c>
      <c r="I179" s="24">
        <v>19012.71</v>
      </c>
      <c r="J179" s="24">
        <v>0</v>
      </c>
      <c r="K179" s="24">
        <v>1711.14</v>
      </c>
      <c r="L179" s="24">
        <v>1711.14</v>
      </c>
      <c r="M179" s="24">
        <v>0</v>
      </c>
      <c r="N179" s="22" t="s">
        <v>318</v>
      </c>
      <c r="O179" s="12" t="s">
        <v>384</v>
      </c>
      <c r="P179" s="14" t="s">
        <v>320</v>
      </c>
      <c r="Q179" s="12" t="s">
        <v>232</v>
      </c>
      <c r="R179" s="15" t="s">
        <v>321</v>
      </c>
      <c r="S179" s="22" t="s">
        <v>322</v>
      </c>
      <c r="T179" s="22" t="s">
        <v>738</v>
      </c>
      <c r="U179" s="22" t="s">
        <v>588</v>
      </c>
    </row>
    <row r="180" spans="1:21">
      <c r="A180" s="12" t="s">
        <v>733</v>
      </c>
      <c r="B180" s="12" t="s">
        <v>734</v>
      </c>
      <c r="C180" s="12" t="s">
        <v>739</v>
      </c>
      <c r="D180" s="12" t="s">
        <v>314</v>
      </c>
      <c r="E180" s="23">
        <v>45930</v>
      </c>
      <c r="F180" s="24">
        <v>12392</v>
      </c>
      <c r="G180" s="12" t="s">
        <v>316</v>
      </c>
      <c r="H180" s="14" t="s">
        <v>317</v>
      </c>
      <c r="I180" s="24">
        <v>10501.69</v>
      </c>
      <c r="J180" s="24">
        <v>0</v>
      </c>
      <c r="K180" s="24">
        <v>945.15</v>
      </c>
      <c r="L180" s="24">
        <v>945.15</v>
      </c>
      <c r="M180" s="24">
        <v>0</v>
      </c>
      <c r="N180" s="22" t="s">
        <v>318</v>
      </c>
      <c r="O180" s="12" t="s">
        <v>384</v>
      </c>
      <c r="P180" s="14" t="s">
        <v>320</v>
      </c>
      <c r="Q180" s="12" t="s">
        <v>232</v>
      </c>
      <c r="R180" s="15" t="s">
        <v>321</v>
      </c>
      <c r="S180" s="22" t="s">
        <v>322</v>
      </c>
      <c r="T180" s="22" t="s">
        <v>740</v>
      </c>
      <c r="U180" s="22" t="s">
        <v>423</v>
      </c>
    </row>
    <row r="181" spans="1:21">
      <c r="A181" s="12" t="s">
        <v>741</v>
      </c>
      <c r="B181" s="12" t="s">
        <v>742</v>
      </c>
      <c r="C181" s="12" t="s">
        <v>743</v>
      </c>
      <c r="D181" s="12" t="s">
        <v>314</v>
      </c>
      <c r="E181" s="23">
        <v>45930</v>
      </c>
      <c r="F181" s="24">
        <v>59</v>
      </c>
      <c r="G181" s="12" t="s">
        <v>316</v>
      </c>
      <c r="H181" s="14" t="s">
        <v>317</v>
      </c>
      <c r="I181" s="24">
        <v>50</v>
      </c>
      <c r="J181" s="24">
        <v>0</v>
      </c>
      <c r="K181" s="24">
        <v>4.5</v>
      </c>
      <c r="L181" s="24">
        <v>4.5</v>
      </c>
      <c r="M181" s="24">
        <v>0</v>
      </c>
      <c r="N181" s="22" t="s">
        <v>318</v>
      </c>
      <c r="O181" s="12" t="s">
        <v>319</v>
      </c>
      <c r="P181" s="14" t="s">
        <v>320</v>
      </c>
      <c r="Q181" s="12" t="s">
        <v>232</v>
      </c>
      <c r="R181" s="15" t="s">
        <v>321</v>
      </c>
      <c r="S181" s="22" t="s">
        <v>232</v>
      </c>
      <c r="T181" s="22" t="s">
        <v>232</v>
      </c>
      <c r="U181" s="22" t="s">
        <v>232</v>
      </c>
    </row>
    <row r="182" spans="1:21">
      <c r="A182" s="12" t="s">
        <v>741</v>
      </c>
      <c r="B182" s="12" t="s">
        <v>742</v>
      </c>
      <c r="C182" s="12" t="s">
        <v>744</v>
      </c>
      <c r="D182" s="12" t="s">
        <v>314</v>
      </c>
      <c r="E182" s="23">
        <v>45930</v>
      </c>
      <c r="F182" s="24">
        <v>59</v>
      </c>
      <c r="G182" s="12" t="s">
        <v>316</v>
      </c>
      <c r="H182" s="14" t="s">
        <v>317</v>
      </c>
      <c r="I182" s="24">
        <v>50</v>
      </c>
      <c r="J182" s="24">
        <v>0</v>
      </c>
      <c r="K182" s="24">
        <v>4.5</v>
      </c>
      <c r="L182" s="24">
        <v>4.5</v>
      </c>
      <c r="M182" s="24">
        <v>0</v>
      </c>
      <c r="N182" s="22" t="s">
        <v>318</v>
      </c>
      <c r="O182" s="12" t="s">
        <v>319</v>
      </c>
      <c r="P182" s="14" t="s">
        <v>320</v>
      </c>
      <c r="Q182" s="12" t="s">
        <v>232</v>
      </c>
      <c r="R182" s="15" t="s">
        <v>321</v>
      </c>
      <c r="S182" s="22" t="s">
        <v>232</v>
      </c>
      <c r="T182" s="22" t="s">
        <v>232</v>
      </c>
      <c r="U182" s="22" t="s">
        <v>232</v>
      </c>
    </row>
    <row r="183" spans="1:21">
      <c r="A183" s="12" t="s">
        <v>741</v>
      </c>
      <c r="B183" s="12" t="s">
        <v>742</v>
      </c>
      <c r="C183" s="12" t="s">
        <v>745</v>
      </c>
      <c r="D183" s="12" t="s">
        <v>314</v>
      </c>
      <c r="E183" s="23">
        <v>45930</v>
      </c>
      <c r="F183" s="24">
        <v>10.62</v>
      </c>
      <c r="G183" s="12" t="s">
        <v>316</v>
      </c>
      <c r="H183" s="14" t="s">
        <v>317</v>
      </c>
      <c r="I183" s="24">
        <v>9</v>
      </c>
      <c r="J183" s="24">
        <v>0</v>
      </c>
      <c r="K183" s="24">
        <v>0.81</v>
      </c>
      <c r="L183" s="24">
        <v>0.81</v>
      </c>
      <c r="M183" s="24">
        <v>0</v>
      </c>
      <c r="N183" s="22" t="s">
        <v>318</v>
      </c>
      <c r="O183" s="12" t="s">
        <v>319</v>
      </c>
      <c r="P183" s="14" t="s">
        <v>320</v>
      </c>
      <c r="Q183" s="12" t="s">
        <v>232</v>
      </c>
      <c r="R183" s="15" t="s">
        <v>321</v>
      </c>
      <c r="S183" s="22" t="s">
        <v>232</v>
      </c>
      <c r="T183" s="22" t="s">
        <v>232</v>
      </c>
      <c r="U183" s="22" t="s">
        <v>232</v>
      </c>
    </row>
    <row r="184" spans="1:21">
      <c r="A184" s="12" t="s">
        <v>741</v>
      </c>
      <c r="B184" s="12" t="s">
        <v>742</v>
      </c>
      <c r="C184" s="12" t="s">
        <v>746</v>
      </c>
      <c r="D184" s="12" t="s">
        <v>314</v>
      </c>
      <c r="E184" s="23">
        <v>45930</v>
      </c>
      <c r="F184" s="24">
        <v>8.26</v>
      </c>
      <c r="G184" s="12" t="s">
        <v>316</v>
      </c>
      <c r="H184" s="14" t="s">
        <v>317</v>
      </c>
      <c r="I184" s="24">
        <v>7</v>
      </c>
      <c r="J184" s="24">
        <v>0</v>
      </c>
      <c r="K184" s="24">
        <v>0.63</v>
      </c>
      <c r="L184" s="24">
        <v>0.63</v>
      </c>
      <c r="M184" s="24">
        <v>0</v>
      </c>
      <c r="N184" s="22" t="s">
        <v>318</v>
      </c>
      <c r="O184" s="12" t="s">
        <v>319</v>
      </c>
      <c r="P184" s="14" t="s">
        <v>320</v>
      </c>
      <c r="Q184" s="12" t="s">
        <v>232</v>
      </c>
      <c r="R184" s="15" t="s">
        <v>321</v>
      </c>
      <c r="S184" s="22" t="s">
        <v>232</v>
      </c>
      <c r="T184" s="22" t="s">
        <v>232</v>
      </c>
      <c r="U184" s="22" t="s">
        <v>232</v>
      </c>
    </row>
    <row r="185" spans="1:21">
      <c r="A185" s="12" t="s">
        <v>747</v>
      </c>
      <c r="B185" s="12" t="s">
        <v>748</v>
      </c>
      <c r="C185" s="12" t="s">
        <v>749</v>
      </c>
      <c r="D185" s="12" t="s">
        <v>314</v>
      </c>
      <c r="E185" s="23">
        <v>45916</v>
      </c>
      <c r="F185" s="24">
        <v>18795</v>
      </c>
      <c r="G185" s="12" t="s">
        <v>316</v>
      </c>
      <c r="H185" s="14" t="s">
        <v>317</v>
      </c>
      <c r="I185" s="24">
        <v>15927.97</v>
      </c>
      <c r="J185" s="24">
        <v>0</v>
      </c>
      <c r="K185" s="24">
        <v>1433.52</v>
      </c>
      <c r="L185" s="24">
        <v>1433.52</v>
      </c>
      <c r="M185" s="24">
        <v>0</v>
      </c>
      <c r="N185" s="22" t="s">
        <v>318</v>
      </c>
      <c r="O185" s="12" t="s">
        <v>319</v>
      </c>
      <c r="P185" s="14" t="s">
        <v>320</v>
      </c>
      <c r="Q185" s="12" t="s">
        <v>232</v>
      </c>
      <c r="R185" s="15" t="s">
        <v>321</v>
      </c>
      <c r="S185" s="22" t="s">
        <v>322</v>
      </c>
      <c r="T185" s="22" t="s">
        <v>750</v>
      </c>
      <c r="U185" s="22" t="s">
        <v>361</v>
      </c>
    </row>
    <row r="186" spans="1:21">
      <c r="A186" s="12" t="s">
        <v>747</v>
      </c>
      <c r="B186" s="12" t="s">
        <v>748</v>
      </c>
      <c r="C186" s="12" t="s">
        <v>751</v>
      </c>
      <c r="D186" s="12" t="s">
        <v>314</v>
      </c>
      <c r="E186" s="23">
        <v>45919</v>
      </c>
      <c r="F186" s="24">
        <v>19330</v>
      </c>
      <c r="G186" s="12" t="s">
        <v>316</v>
      </c>
      <c r="H186" s="14" t="s">
        <v>317</v>
      </c>
      <c r="I186" s="24">
        <v>16381.36</v>
      </c>
      <c r="J186" s="24">
        <v>0</v>
      </c>
      <c r="K186" s="24">
        <v>1474.32</v>
      </c>
      <c r="L186" s="24">
        <v>1474.32</v>
      </c>
      <c r="M186" s="24">
        <v>0</v>
      </c>
      <c r="N186" s="22" t="s">
        <v>318</v>
      </c>
      <c r="O186" s="12" t="s">
        <v>319</v>
      </c>
      <c r="P186" s="14" t="s">
        <v>320</v>
      </c>
      <c r="Q186" s="12" t="s">
        <v>232</v>
      </c>
      <c r="R186" s="15" t="s">
        <v>321</v>
      </c>
      <c r="S186" s="22" t="s">
        <v>322</v>
      </c>
      <c r="T186" s="22" t="s">
        <v>752</v>
      </c>
      <c r="U186" s="22" t="s">
        <v>380</v>
      </c>
    </row>
    <row r="187" spans="1:21">
      <c r="A187" s="12" t="s">
        <v>753</v>
      </c>
      <c r="B187" s="12" t="s">
        <v>754</v>
      </c>
      <c r="C187" s="12" t="s">
        <v>755</v>
      </c>
      <c r="D187" s="12" t="s">
        <v>314</v>
      </c>
      <c r="E187" s="23">
        <v>45929</v>
      </c>
      <c r="F187" s="24">
        <v>979</v>
      </c>
      <c r="G187" s="12" t="s">
        <v>316</v>
      </c>
      <c r="H187" s="14" t="s">
        <v>317</v>
      </c>
      <c r="I187" s="24">
        <v>830</v>
      </c>
      <c r="J187" s="24">
        <v>0</v>
      </c>
      <c r="K187" s="24">
        <v>74.7</v>
      </c>
      <c r="L187" s="24">
        <v>74.7</v>
      </c>
      <c r="M187" s="24">
        <v>0</v>
      </c>
      <c r="N187" s="22" t="s">
        <v>318</v>
      </c>
      <c r="O187" s="12" t="s">
        <v>319</v>
      </c>
      <c r="P187" s="14" t="s">
        <v>320</v>
      </c>
      <c r="Q187" s="12" t="s">
        <v>232</v>
      </c>
      <c r="R187" s="15" t="s">
        <v>321</v>
      </c>
      <c r="S187" s="22" t="s">
        <v>232</v>
      </c>
      <c r="T187" s="22" t="s">
        <v>232</v>
      </c>
      <c r="U187" s="22" t="s">
        <v>232</v>
      </c>
    </row>
    <row r="188" spans="1:21">
      <c r="A188" s="12" t="s">
        <v>756</v>
      </c>
      <c r="B188" s="27" t="s">
        <v>757</v>
      </c>
      <c r="C188" s="12" t="s">
        <v>758</v>
      </c>
      <c r="D188" s="12" t="s">
        <v>314</v>
      </c>
      <c r="E188" s="23">
        <v>45870</v>
      </c>
      <c r="F188" s="24">
        <v>4130</v>
      </c>
      <c r="G188" s="12" t="s">
        <v>316</v>
      </c>
      <c r="H188" s="14" t="s">
        <v>317</v>
      </c>
      <c r="I188" s="24">
        <v>3500</v>
      </c>
      <c r="J188" s="24">
        <v>0</v>
      </c>
      <c r="K188" s="24">
        <v>315</v>
      </c>
      <c r="L188" s="24">
        <v>315</v>
      </c>
      <c r="M188" s="24">
        <v>0</v>
      </c>
      <c r="N188" s="22" t="s">
        <v>411</v>
      </c>
      <c r="O188" s="12" t="s">
        <v>485</v>
      </c>
      <c r="P188" s="14" t="s">
        <v>320</v>
      </c>
      <c r="Q188" s="12" t="s">
        <v>232</v>
      </c>
      <c r="R188" s="15" t="s">
        <v>321</v>
      </c>
      <c r="S188" s="22" t="s">
        <v>232</v>
      </c>
      <c r="T188" s="22" t="s">
        <v>232</v>
      </c>
      <c r="U188" s="22" t="s">
        <v>232</v>
      </c>
    </row>
    <row r="189" spans="1:21">
      <c r="A189" s="12" t="s">
        <v>756</v>
      </c>
      <c r="B189" s="27" t="s">
        <v>757</v>
      </c>
      <c r="C189" s="12" t="s">
        <v>759</v>
      </c>
      <c r="D189" s="12" t="s">
        <v>314</v>
      </c>
      <c r="E189" s="23">
        <v>45874</v>
      </c>
      <c r="F189" s="24">
        <v>7087.5</v>
      </c>
      <c r="G189" s="12" t="s">
        <v>316</v>
      </c>
      <c r="H189" s="14" t="s">
        <v>317</v>
      </c>
      <c r="I189" s="24">
        <v>6750</v>
      </c>
      <c r="J189" s="24">
        <v>0</v>
      </c>
      <c r="K189" s="24">
        <v>168.75</v>
      </c>
      <c r="L189" s="24">
        <v>168.75</v>
      </c>
      <c r="M189" s="24">
        <v>0</v>
      </c>
      <c r="N189" s="22" t="s">
        <v>411</v>
      </c>
      <c r="O189" s="12" t="s">
        <v>485</v>
      </c>
      <c r="P189" s="14" t="s">
        <v>320</v>
      </c>
      <c r="Q189" s="12" t="s">
        <v>232</v>
      </c>
      <c r="R189" s="15" t="s">
        <v>321</v>
      </c>
      <c r="S189" s="22" t="s">
        <v>232</v>
      </c>
      <c r="T189" s="22" t="s">
        <v>232</v>
      </c>
      <c r="U189" s="22" t="s">
        <v>232</v>
      </c>
    </row>
    <row r="190" spans="1:21">
      <c r="A190" s="12" t="s">
        <v>756</v>
      </c>
      <c r="B190" s="27" t="s">
        <v>757</v>
      </c>
      <c r="C190" s="12" t="s">
        <v>760</v>
      </c>
      <c r="D190" s="12" t="s">
        <v>314</v>
      </c>
      <c r="E190" s="23">
        <v>45899</v>
      </c>
      <c r="F190" s="24">
        <v>4130</v>
      </c>
      <c r="G190" s="12" t="s">
        <v>316</v>
      </c>
      <c r="H190" s="14" t="s">
        <v>317</v>
      </c>
      <c r="I190" s="24">
        <v>3500</v>
      </c>
      <c r="J190" s="24">
        <v>0</v>
      </c>
      <c r="K190" s="24">
        <v>315</v>
      </c>
      <c r="L190" s="24">
        <v>315</v>
      </c>
      <c r="M190" s="24">
        <v>0</v>
      </c>
      <c r="N190" s="22" t="s">
        <v>411</v>
      </c>
      <c r="O190" s="12" t="s">
        <v>485</v>
      </c>
      <c r="P190" s="14" t="s">
        <v>320</v>
      </c>
      <c r="Q190" s="12" t="s">
        <v>232</v>
      </c>
      <c r="R190" s="15" t="s">
        <v>321</v>
      </c>
      <c r="S190" s="22" t="s">
        <v>232</v>
      </c>
      <c r="T190" s="22" t="s">
        <v>232</v>
      </c>
      <c r="U190" s="22" t="s">
        <v>232</v>
      </c>
    </row>
    <row r="191" spans="1:21">
      <c r="A191" s="12" t="s">
        <v>761</v>
      </c>
      <c r="B191" s="12" t="s">
        <v>762</v>
      </c>
      <c r="C191" s="12" t="s">
        <v>763</v>
      </c>
      <c r="D191" s="12" t="s">
        <v>314</v>
      </c>
      <c r="E191" s="23">
        <v>45924</v>
      </c>
      <c r="F191" s="24">
        <v>209090</v>
      </c>
      <c r="G191" s="12" t="s">
        <v>316</v>
      </c>
      <c r="H191" s="14" t="s">
        <v>317</v>
      </c>
      <c r="I191" s="24">
        <v>177195.21</v>
      </c>
      <c r="J191" s="24">
        <v>31895.14</v>
      </c>
      <c r="K191" s="24">
        <v>0</v>
      </c>
      <c r="L191" s="24">
        <v>0</v>
      </c>
      <c r="M191" s="24">
        <v>0</v>
      </c>
      <c r="N191" s="22" t="s">
        <v>318</v>
      </c>
      <c r="O191" s="12" t="s">
        <v>384</v>
      </c>
      <c r="P191" s="14" t="s">
        <v>320</v>
      </c>
      <c r="Q191" s="12" t="s">
        <v>232</v>
      </c>
      <c r="R191" s="15" t="s">
        <v>321</v>
      </c>
      <c r="S191" s="22" t="s">
        <v>232</v>
      </c>
      <c r="T191" s="22" t="s">
        <v>764</v>
      </c>
      <c r="U191" s="22" t="s">
        <v>232</v>
      </c>
    </row>
    <row r="192" spans="1:21">
      <c r="A192" s="12" t="s">
        <v>765</v>
      </c>
      <c r="B192" s="12" t="s">
        <v>766</v>
      </c>
      <c r="C192" s="12" t="s">
        <v>767</v>
      </c>
      <c r="D192" s="12" t="s">
        <v>314</v>
      </c>
      <c r="E192" s="23">
        <v>45912</v>
      </c>
      <c r="F192" s="24">
        <v>25200</v>
      </c>
      <c r="G192" s="12" t="s">
        <v>316</v>
      </c>
      <c r="H192" s="14" t="s">
        <v>317</v>
      </c>
      <c r="I192" s="24">
        <v>21355.8</v>
      </c>
      <c r="J192" s="24">
        <v>0</v>
      </c>
      <c r="K192" s="24">
        <v>1922.02</v>
      </c>
      <c r="L192" s="24">
        <v>1922.02</v>
      </c>
      <c r="M192" s="24">
        <v>0</v>
      </c>
      <c r="N192" s="22" t="s">
        <v>318</v>
      </c>
      <c r="O192" s="12" t="s">
        <v>384</v>
      </c>
      <c r="P192" s="14" t="s">
        <v>320</v>
      </c>
      <c r="Q192" s="12" t="s">
        <v>232</v>
      </c>
      <c r="R192" s="15" t="s">
        <v>321</v>
      </c>
      <c r="S192" s="22" t="s">
        <v>322</v>
      </c>
      <c r="T192" s="22" t="s">
        <v>768</v>
      </c>
      <c r="U192" s="22" t="s">
        <v>401</v>
      </c>
    </row>
    <row r="193" spans="6:13">
      <c r="F193" s="25"/>
      <c r="I193" s="25"/>
      <c r="J193" s="25"/>
      <c r="K193" s="25"/>
      <c r="L193" s="25"/>
      <c r="M193" s="25"/>
    </row>
    <row r="194" spans="6:13">
      <c r="F194" s="25"/>
      <c r="I194" s="26">
        <f>SUM(I4:I193)</f>
        <v>20091786.790000007</v>
      </c>
      <c r="J194" s="26">
        <f>SUM(J4:J193)</f>
        <v>2523480.9800000004</v>
      </c>
      <c r="K194" s="26">
        <f>SUM(K4:K193)</f>
        <v>495598.80999999994</v>
      </c>
      <c r="L194" s="26">
        <f>SUM(L4:L193)</f>
        <v>495598.80999999994</v>
      </c>
      <c r="M194" s="26">
        <f>SUM(M4:M193)</f>
        <v>0</v>
      </c>
    </row>
    <row r="195" spans="6:13">
      <c r="I195" s="25"/>
      <c r="J195" s="25"/>
      <c r="K195" s="25"/>
      <c r="L195" s="25"/>
      <c r="M195" s="25"/>
    </row>
    <row r="197" spans="6:13">
      <c r="I197" s="51" t="s">
        <v>865</v>
      </c>
      <c r="J197" s="52">
        <f>J194</f>
        <v>2523480.9800000004</v>
      </c>
      <c r="K197" s="52">
        <f t="shared" ref="K197:L197" si="0">K194</f>
        <v>495598.80999999994</v>
      </c>
      <c r="L197" s="52">
        <f t="shared" si="0"/>
        <v>495598.80999999994</v>
      </c>
    </row>
    <row r="198" spans="6:13">
      <c r="I198" s="51" t="s">
        <v>780</v>
      </c>
      <c r="J198" s="52">
        <f>'B2B-CDNR'!K36-B2B!J199</f>
        <v>15562.33</v>
      </c>
      <c r="K198" s="52">
        <f>'B2B-CDNR'!L36-B2B!K199</f>
        <v>1657.44</v>
      </c>
      <c r="L198" s="52">
        <f>'B2B-CDNR'!M36-B2B!L199</f>
        <v>1657.44</v>
      </c>
    </row>
    <row r="199" spans="6:13">
      <c r="I199" s="51" t="s">
        <v>830</v>
      </c>
      <c r="J199" s="52">
        <f>'B2B-CDNR'!K27</f>
        <v>742.12</v>
      </c>
      <c r="K199" s="52">
        <f>'B2B-CDNR'!L27</f>
        <v>0</v>
      </c>
      <c r="L199" s="52">
        <f>'B2B-CDNR'!L27</f>
        <v>0</v>
      </c>
    </row>
    <row r="200" spans="6:13">
      <c r="I200" s="51" t="s">
        <v>866</v>
      </c>
      <c r="J200" s="52">
        <f>J155+J188+J189+J190</f>
        <v>0</v>
      </c>
      <c r="K200" s="52">
        <f t="shared" ref="K200:L200" si="1">K155+K188+K189+K190</f>
        <v>941.6</v>
      </c>
      <c r="L200" s="52">
        <f t="shared" si="1"/>
        <v>941.6</v>
      </c>
    </row>
    <row r="201" spans="6:13">
      <c r="I201" s="51" t="s">
        <v>868</v>
      </c>
      <c r="J201" s="52">
        <v>0</v>
      </c>
      <c r="K201" s="52">
        <v>7650</v>
      </c>
      <c r="L201" s="52">
        <v>7650</v>
      </c>
    </row>
    <row r="202" spans="6:13">
      <c r="I202" s="51" t="s">
        <v>867</v>
      </c>
      <c r="J202" s="53">
        <f>J197+J199-J198-J200+J201</f>
        <v>2508660.7700000005</v>
      </c>
      <c r="K202" s="53">
        <f t="shared" ref="K202:L202" si="2">K197+K199-K198-K200+K201</f>
        <v>500649.76999999996</v>
      </c>
      <c r="L202" s="53">
        <f t="shared" si="2"/>
        <v>500649.76999999996</v>
      </c>
    </row>
  </sheetData>
  <autoFilter ref="A3:U194" xr:uid="{00000000-0001-0000-0500-000000000000}"/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7"/>
  <sheetViews>
    <sheetView workbookViewId="0">
      <selection sqref="A1:Y3"/>
    </sheetView>
  </sheetViews>
  <sheetFormatPr defaultRowHeight="1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23" width="20" customWidth="1"/>
    <col min="24" max="24" width="35" customWidth="1"/>
    <col min="25" max="25" width="20" customWidth="1"/>
  </cols>
  <sheetData>
    <row r="1" spans="1: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spans="1: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5">
      <c r="A4" s="47" t="s">
        <v>769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 spans="1:25">
      <c r="A5" s="48" t="s">
        <v>770</v>
      </c>
      <c r="B5" s="48"/>
      <c r="C5" s="49" t="s">
        <v>771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spans="1:25">
      <c r="A6" s="46" t="s">
        <v>23</v>
      </c>
      <c r="B6" s="46" t="s">
        <v>305</v>
      </c>
      <c r="C6" s="46" t="s">
        <v>20</v>
      </c>
      <c r="D6" s="46" t="s">
        <v>21</v>
      </c>
      <c r="E6" s="46" t="s">
        <v>300</v>
      </c>
      <c r="F6" s="46"/>
      <c r="G6" s="46"/>
      <c r="H6" s="46"/>
      <c r="I6" s="46" t="s">
        <v>30</v>
      </c>
      <c r="J6" s="46" t="s">
        <v>301</v>
      </c>
      <c r="K6" s="46" t="s">
        <v>302</v>
      </c>
      <c r="L6" s="46" t="s">
        <v>303</v>
      </c>
      <c r="M6" s="46"/>
      <c r="N6" s="46"/>
      <c r="O6" s="46"/>
      <c r="P6" s="46" t="s">
        <v>70</v>
      </c>
      <c r="Q6" s="50" t="s">
        <v>772</v>
      </c>
      <c r="R6" s="50"/>
      <c r="S6" s="50"/>
      <c r="T6" s="50"/>
      <c r="U6" s="46" t="s">
        <v>43</v>
      </c>
      <c r="V6" s="46" t="s">
        <v>45</v>
      </c>
      <c r="W6" s="46" t="s">
        <v>47</v>
      </c>
      <c r="X6" s="46" t="s">
        <v>49</v>
      </c>
      <c r="Y6" s="46" t="s">
        <v>51</v>
      </c>
    </row>
    <row r="7" spans="1:25">
      <c r="A7" s="46"/>
      <c r="B7" s="46"/>
      <c r="C7" s="46"/>
      <c r="D7" s="46"/>
      <c r="E7" s="11" t="s">
        <v>23</v>
      </c>
      <c r="F7" s="11" t="s">
        <v>24</v>
      </c>
      <c r="G7" s="11" t="s">
        <v>305</v>
      </c>
      <c r="H7" s="11" t="s">
        <v>306</v>
      </c>
      <c r="I7" s="46"/>
      <c r="J7" s="46"/>
      <c r="K7" s="46"/>
      <c r="L7" s="11" t="s">
        <v>307</v>
      </c>
      <c r="M7" s="11" t="s">
        <v>308</v>
      </c>
      <c r="N7" s="11" t="s">
        <v>309</v>
      </c>
      <c r="O7" s="11" t="s">
        <v>310</v>
      </c>
      <c r="P7" s="46"/>
      <c r="Q7" s="11" t="s">
        <v>307</v>
      </c>
      <c r="R7" s="11" t="s">
        <v>308</v>
      </c>
      <c r="S7" s="11" t="s">
        <v>309</v>
      </c>
      <c r="T7" s="11" t="s">
        <v>310</v>
      </c>
      <c r="U7" s="46"/>
      <c r="V7" s="46"/>
      <c r="W7" s="46"/>
      <c r="X7" s="46"/>
      <c r="Y7" s="46"/>
    </row>
  </sheetData>
  <mergeCells count="20">
    <mergeCell ref="W6:W7"/>
    <mergeCell ref="X6:X7"/>
    <mergeCell ref="Y6:Y7"/>
    <mergeCell ref="A1:Y3"/>
    <mergeCell ref="A4:Y4"/>
    <mergeCell ref="A5:B5"/>
    <mergeCell ref="C5:Y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36"/>
  <sheetViews>
    <sheetView workbookViewId="0">
      <pane xSplit="3" ySplit="3" topLeftCell="H27" activePane="bottomRight" state="frozen"/>
      <selection pane="topRight" activeCell="D1" sqref="D1"/>
      <selection pane="bottomLeft" activeCell="A4" sqref="A4"/>
      <selection pane="bottomRight" activeCell="K27" sqref="K27"/>
    </sheetView>
  </sheetViews>
  <sheetFormatPr defaultRowHeight="15"/>
  <cols>
    <col min="1" max="2" width="20" customWidth="1"/>
    <col min="3" max="3" width="15.85546875" customWidth="1"/>
    <col min="4" max="4" width="11.85546875" customWidth="1"/>
    <col min="5" max="5" width="9" customWidth="1"/>
    <col min="6" max="6" width="11" customWidth="1"/>
    <col min="7" max="7" width="20" customWidth="1"/>
    <col min="8" max="8" width="13.7109375" customWidth="1"/>
    <col min="9" max="9" width="10.140625" customWidth="1"/>
    <col min="10" max="22" width="20" customWidth="1"/>
    <col min="23" max="23" width="35" customWidth="1"/>
    <col min="24" max="27" width="20" customWidth="1"/>
  </cols>
  <sheetData>
    <row r="1" spans="1:27" ht="21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21" customHeight="1">
      <c r="A2" s="19" t="s">
        <v>773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21" customHeight="1">
      <c r="A3" s="20" t="s">
        <v>20</v>
      </c>
      <c r="B3" s="20" t="s">
        <v>21</v>
      </c>
      <c r="C3" s="21" t="s">
        <v>80</v>
      </c>
      <c r="D3" s="21" t="s">
        <v>82</v>
      </c>
      <c r="E3" s="21" t="s">
        <v>775</v>
      </c>
      <c r="F3" s="21" t="s">
        <v>86</v>
      </c>
      <c r="G3" s="21" t="s">
        <v>776</v>
      </c>
      <c r="H3" s="20" t="s">
        <v>30</v>
      </c>
      <c r="I3" s="20" t="s">
        <v>301</v>
      </c>
      <c r="J3" s="20" t="s">
        <v>302</v>
      </c>
      <c r="K3" s="21" t="s">
        <v>307</v>
      </c>
      <c r="L3" s="21" t="s">
        <v>308</v>
      </c>
      <c r="M3" s="21" t="s">
        <v>309</v>
      </c>
      <c r="N3" s="21" t="s">
        <v>310</v>
      </c>
      <c r="O3" s="20" t="s">
        <v>70</v>
      </c>
      <c r="P3" s="21" t="s">
        <v>307</v>
      </c>
      <c r="Q3" s="21" t="s">
        <v>308</v>
      </c>
      <c r="R3" s="21" t="s">
        <v>309</v>
      </c>
      <c r="S3" s="21" t="s">
        <v>310</v>
      </c>
      <c r="T3" s="20" t="s">
        <v>43</v>
      </c>
      <c r="U3" s="20" t="s">
        <v>45</v>
      </c>
      <c r="V3" s="20" t="s">
        <v>47</v>
      </c>
      <c r="W3" s="20" t="s">
        <v>49</v>
      </c>
      <c r="X3" s="20" t="s">
        <v>51</v>
      </c>
      <c r="Y3" s="20" t="s">
        <v>53</v>
      </c>
      <c r="Z3" s="20" t="s">
        <v>55</v>
      </c>
      <c r="AA3" s="20" t="s">
        <v>304</v>
      </c>
    </row>
    <row r="4" spans="1:27">
      <c r="A4" s="12" t="s">
        <v>777</v>
      </c>
      <c r="B4" s="12" t="s">
        <v>778</v>
      </c>
      <c r="C4" s="12" t="s">
        <v>779</v>
      </c>
      <c r="D4" s="12" t="s">
        <v>780</v>
      </c>
      <c r="E4" s="12" t="s">
        <v>314</v>
      </c>
      <c r="F4" s="23">
        <v>45909</v>
      </c>
      <c r="G4" s="24">
        <v>10714</v>
      </c>
      <c r="H4" s="12" t="s">
        <v>316</v>
      </c>
      <c r="I4" s="14" t="s">
        <v>317</v>
      </c>
      <c r="J4" s="24">
        <v>9080</v>
      </c>
      <c r="K4" s="24">
        <v>1634.4</v>
      </c>
      <c r="L4" s="24">
        <v>0</v>
      </c>
      <c r="M4" s="24">
        <v>0</v>
      </c>
      <c r="N4" s="24">
        <v>0</v>
      </c>
      <c r="O4" s="12" t="s">
        <v>295</v>
      </c>
      <c r="P4" s="13" t="s">
        <v>295</v>
      </c>
      <c r="Q4" s="13" t="s">
        <v>295</v>
      </c>
      <c r="R4" s="13" t="s">
        <v>295</v>
      </c>
      <c r="S4" s="13" t="s">
        <v>295</v>
      </c>
      <c r="T4" s="12" t="s">
        <v>318</v>
      </c>
      <c r="U4" s="12" t="s">
        <v>384</v>
      </c>
      <c r="V4" s="14" t="s">
        <v>320</v>
      </c>
      <c r="W4" s="12" t="s">
        <v>232</v>
      </c>
      <c r="X4" s="13" t="s">
        <v>321</v>
      </c>
      <c r="Y4" s="14" t="s">
        <v>322</v>
      </c>
      <c r="Z4" s="12" t="s">
        <v>781</v>
      </c>
      <c r="AA4" s="12" t="s">
        <v>315</v>
      </c>
    </row>
    <row r="5" spans="1:27">
      <c r="A5" s="12" t="s">
        <v>698</v>
      </c>
      <c r="B5" s="12" t="s">
        <v>699</v>
      </c>
      <c r="C5" s="12" t="s">
        <v>782</v>
      </c>
      <c r="D5" s="12" t="s">
        <v>780</v>
      </c>
      <c r="E5" s="12" t="s">
        <v>314</v>
      </c>
      <c r="F5" s="23">
        <v>45909</v>
      </c>
      <c r="G5" s="24">
        <v>176</v>
      </c>
      <c r="H5" s="12" t="s">
        <v>316</v>
      </c>
      <c r="I5" s="14" t="s">
        <v>317</v>
      </c>
      <c r="J5" s="24">
        <v>149.15</v>
      </c>
      <c r="K5" s="24">
        <v>26.85</v>
      </c>
      <c r="L5" s="24">
        <v>0</v>
      </c>
      <c r="M5" s="24">
        <v>0</v>
      </c>
      <c r="N5" s="24">
        <v>0</v>
      </c>
      <c r="O5" s="12" t="s">
        <v>295</v>
      </c>
      <c r="P5" s="13" t="s">
        <v>295</v>
      </c>
      <c r="Q5" s="13" t="s">
        <v>295</v>
      </c>
      <c r="R5" s="13" t="s">
        <v>295</v>
      </c>
      <c r="S5" s="13" t="s">
        <v>295</v>
      </c>
      <c r="T5" s="12" t="s">
        <v>318</v>
      </c>
      <c r="U5" s="12" t="s">
        <v>395</v>
      </c>
      <c r="V5" s="14" t="s">
        <v>320</v>
      </c>
      <c r="W5" s="12" t="s">
        <v>232</v>
      </c>
      <c r="X5" s="13" t="s">
        <v>321</v>
      </c>
      <c r="Y5" s="14" t="s">
        <v>322</v>
      </c>
      <c r="Z5" s="12" t="s">
        <v>783</v>
      </c>
      <c r="AA5" s="12" t="s">
        <v>354</v>
      </c>
    </row>
    <row r="6" spans="1:27">
      <c r="A6" s="12" t="s">
        <v>698</v>
      </c>
      <c r="B6" s="12" t="s">
        <v>699</v>
      </c>
      <c r="C6" s="12" t="s">
        <v>784</v>
      </c>
      <c r="D6" s="12" t="s">
        <v>780</v>
      </c>
      <c r="E6" s="12" t="s">
        <v>314</v>
      </c>
      <c r="F6" s="23">
        <v>45909</v>
      </c>
      <c r="G6" s="24">
        <v>984</v>
      </c>
      <c r="H6" s="12" t="s">
        <v>316</v>
      </c>
      <c r="I6" s="14" t="s">
        <v>317</v>
      </c>
      <c r="J6" s="24">
        <v>833.9</v>
      </c>
      <c r="K6" s="24">
        <v>150.1</v>
      </c>
      <c r="L6" s="24">
        <v>0</v>
      </c>
      <c r="M6" s="24">
        <v>0</v>
      </c>
      <c r="N6" s="24">
        <v>0</v>
      </c>
      <c r="O6" s="12" t="s">
        <v>295</v>
      </c>
      <c r="P6" s="13" t="s">
        <v>295</v>
      </c>
      <c r="Q6" s="13" t="s">
        <v>295</v>
      </c>
      <c r="R6" s="13" t="s">
        <v>295</v>
      </c>
      <c r="S6" s="13" t="s">
        <v>295</v>
      </c>
      <c r="T6" s="12" t="s">
        <v>318</v>
      </c>
      <c r="U6" s="12" t="s">
        <v>395</v>
      </c>
      <c r="V6" s="14" t="s">
        <v>320</v>
      </c>
      <c r="W6" s="12" t="s">
        <v>232</v>
      </c>
      <c r="X6" s="13" t="s">
        <v>321</v>
      </c>
      <c r="Y6" s="14" t="s">
        <v>322</v>
      </c>
      <c r="Z6" s="12" t="s">
        <v>785</v>
      </c>
      <c r="AA6" s="12" t="s">
        <v>354</v>
      </c>
    </row>
    <row r="7" spans="1:27">
      <c r="A7" s="12" t="s">
        <v>698</v>
      </c>
      <c r="B7" s="12" t="s">
        <v>699</v>
      </c>
      <c r="C7" s="12" t="s">
        <v>786</v>
      </c>
      <c r="D7" s="12" t="s">
        <v>780</v>
      </c>
      <c r="E7" s="12" t="s">
        <v>314</v>
      </c>
      <c r="F7" s="23">
        <v>45930</v>
      </c>
      <c r="G7" s="24">
        <v>1934</v>
      </c>
      <c r="H7" s="12" t="s">
        <v>316</v>
      </c>
      <c r="I7" s="14" t="s">
        <v>317</v>
      </c>
      <c r="J7" s="24">
        <v>1638.98</v>
      </c>
      <c r="K7" s="24">
        <v>295.02</v>
      </c>
      <c r="L7" s="24">
        <v>0</v>
      </c>
      <c r="M7" s="24">
        <v>0</v>
      </c>
      <c r="N7" s="24">
        <v>0</v>
      </c>
      <c r="O7" s="12" t="s">
        <v>295</v>
      </c>
      <c r="P7" s="13" t="s">
        <v>295</v>
      </c>
      <c r="Q7" s="13" t="s">
        <v>295</v>
      </c>
      <c r="R7" s="13" t="s">
        <v>295</v>
      </c>
      <c r="S7" s="13" t="s">
        <v>295</v>
      </c>
      <c r="T7" s="12" t="s">
        <v>318</v>
      </c>
      <c r="U7" s="12" t="s">
        <v>395</v>
      </c>
      <c r="V7" s="14" t="s">
        <v>320</v>
      </c>
      <c r="W7" s="12" t="s">
        <v>232</v>
      </c>
      <c r="X7" s="13" t="s">
        <v>321</v>
      </c>
      <c r="Y7" s="14" t="s">
        <v>322</v>
      </c>
      <c r="Z7" s="12" t="s">
        <v>787</v>
      </c>
      <c r="AA7" s="12" t="s">
        <v>788</v>
      </c>
    </row>
    <row r="8" spans="1:27">
      <c r="A8" s="12" t="s">
        <v>698</v>
      </c>
      <c r="B8" s="12" t="s">
        <v>699</v>
      </c>
      <c r="C8" s="12" t="s">
        <v>789</v>
      </c>
      <c r="D8" s="12" t="s">
        <v>780</v>
      </c>
      <c r="E8" s="12" t="s">
        <v>314</v>
      </c>
      <c r="F8" s="23">
        <v>45930</v>
      </c>
      <c r="G8" s="24">
        <v>5687</v>
      </c>
      <c r="H8" s="12" t="s">
        <v>316</v>
      </c>
      <c r="I8" s="14" t="s">
        <v>317</v>
      </c>
      <c r="J8" s="24">
        <v>4819.49</v>
      </c>
      <c r="K8" s="24">
        <v>867.51</v>
      </c>
      <c r="L8" s="24">
        <v>0</v>
      </c>
      <c r="M8" s="24">
        <v>0</v>
      </c>
      <c r="N8" s="24">
        <v>0</v>
      </c>
      <c r="O8" s="12" t="s">
        <v>295</v>
      </c>
      <c r="P8" s="13" t="s">
        <v>295</v>
      </c>
      <c r="Q8" s="13" t="s">
        <v>295</v>
      </c>
      <c r="R8" s="13" t="s">
        <v>295</v>
      </c>
      <c r="S8" s="13" t="s">
        <v>295</v>
      </c>
      <c r="T8" s="12" t="s">
        <v>318</v>
      </c>
      <c r="U8" s="12" t="s">
        <v>395</v>
      </c>
      <c r="V8" s="14" t="s">
        <v>320</v>
      </c>
      <c r="W8" s="12" t="s">
        <v>232</v>
      </c>
      <c r="X8" s="13" t="s">
        <v>321</v>
      </c>
      <c r="Y8" s="14" t="s">
        <v>322</v>
      </c>
      <c r="Z8" s="12" t="s">
        <v>790</v>
      </c>
      <c r="AA8" s="12" t="s">
        <v>788</v>
      </c>
    </row>
    <row r="9" spans="1:27">
      <c r="A9" s="12" t="s">
        <v>698</v>
      </c>
      <c r="B9" s="12" t="s">
        <v>699</v>
      </c>
      <c r="C9" s="12" t="s">
        <v>791</v>
      </c>
      <c r="D9" s="12" t="s">
        <v>780</v>
      </c>
      <c r="E9" s="12" t="s">
        <v>314</v>
      </c>
      <c r="F9" s="23">
        <v>45930</v>
      </c>
      <c r="G9" s="24">
        <v>474</v>
      </c>
      <c r="H9" s="12" t="s">
        <v>316</v>
      </c>
      <c r="I9" s="14" t="s">
        <v>317</v>
      </c>
      <c r="J9" s="24">
        <v>401.7</v>
      </c>
      <c r="K9" s="24">
        <v>72.3</v>
      </c>
      <c r="L9" s="24">
        <v>0</v>
      </c>
      <c r="M9" s="24">
        <v>0</v>
      </c>
      <c r="N9" s="24">
        <v>0</v>
      </c>
      <c r="O9" s="12" t="s">
        <v>295</v>
      </c>
      <c r="P9" s="13" t="s">
        <v>295</v>
      </c>
      <c r="Q9" s="13" t="s">
        <v>295</v>
      </c>
      <c r="R9" s="13" t="s">
        <v>295</v>
      </c>
      <c r="S9" s="13" t="s">
        <v>295</v>
      </c>
      <c r="T9" s="12" t="s">
        <v>318</v>
      </c>
      <c r="U9" s="12" t="s">
        <v>395</v>
      </c>
      <c r="V9" s="14" t="s">
        <v>320</v>
      </c>
      <c r="W9" s="12" t="s">
        <v>232</v>
      </c>
      <c r="X9" s="13" t="s">
        <v>321</v>
      </c>
      <c r="Y9" s="14" t="s">
        <v>322</v>
      </c>
      <c r="Z9" s="12" t="s">
        <v>792</v>
      </c>
      <c r="AA9" s="12" t="s">
        <v>788</v>
      </c>
    </row>
    <row r="10" spans="1:27">
      <c r="A10" s="12" t="s">
        <v>698</v>
      </c>
      <c r="B10" s="12" t="s">
        <v>699</v>
      </c>
      <c r="C10" s="12" t="s">
        <v>793</v>
      </c>
      <c r="D10" s="12" t="s">
        <v>780</v>
      </c>
      <c r="E10" s="12" t="s">
        <v>314</v>
      </c>
      <c r="F10" s="23">
        <v>45930</v>
      </c>
      <c r="G10" s="24">
        <v>73</v>
      </c>
      <c r="H10" s="12" t="s">
        <v>316</v>
      </c>
      <c r="I10" s="14" t="s">
        <v>317</v>
      </c>
      <c r="J10" s="24">
        <v>61.87</v>
      </c>
      <c r="K10" s="24">
        <v>11.13</v>
      </c>
      <c r="L10" s="24">
        <v>0</v>
      </c>
      <c r="M10" s="24">
        <v>0</v>
      </c>
      <c r="N10" s="24">
        <v>0</v>
      </c>
      <c r="O10" s="12" t="s">
        <v>295</v>
      </c>
      <c r="P10" s="13" t="s">
        <v>295</v>
      </c>
      <c r="Q10" s="13" t="s">
        <v>295</v>
      </c>
      <c r="R10" s="13" t="s">
        <v>295</v>
      </c>
      <c r="S10" s="13" t="s">
        <v>295</v>
      </c>
      <c r="T10" s="12" t="s">
        <v>318</v>
      </c>
      <c r="U10" s="12" t="s">
        <v>395</v>
      </c>
      <c r="V10" s="14" t="s">
        <v>320</v>
      </c>
      <c r="W10" s="12" t="s">
        <v>232</v>
      </c>
      <c r="X10" s="13" t="s">
        <v>321</v>
      </c>
      <c r="Y10" s="14" t="s">
        <v>322</v>
      </c>
      <c r="Z10" s="12" t="s">
        <v>794</v>
      </c>
      <c r="AA10" s="12" t="s">
        <v>788</v>
      </c>
    </row>
    <row r="11" spans="1:27">
      <c r="A11" s="12" t="s">
        <v>698</v>
      </c>
      <c r="B11" s="12" t="s">
        <v>699</v>
      </c>
      <c r="C11" s="12" t="s">
        <v>795</v>
      </c>
      <c r="D11" s="12" t="s">
        <v>780</v>
      </c>
      <c r="E11" s="12" t="s">
        <v>314</v>
      </c>
      <c r="F11" s="23">
        <v>45930</v>
      </c>
      <c r="G11" s="24">
        <v>749</v>
      </c>
      <c r="H11" s="12" t="s">
        <v>316</v>
      </c>
      <c r="I11" s="14" t="s">
        <v>317</v>
      </c>
      <c r="J11" s="24">
        <v>634.74</v>
      </c>
      <c r="K11" s="24">
        <v>114.26</v>
      </c>
      <c r="L11" s="24">
        <v>0</v>
      </c>
      <c r="M11" s="24">
        <v>0</v>
      </c>
      <c r="N11" s="24">
        <v>0</v>
      </c>
      <c r="O11" s="12" t="s">
        <v>295</v>
      </c>
      <c r="P11" s="13" t="s">
        <v>295</v>
      </c>
      <c r="Q11" s="13" t="s">
        <v>295</v>
      </c>
      <c r="R11" s="13" t="s">
        <v>295</v>
      </c>
      <c r="S11" s="13" t="s">
        <v>295</v>
      </c>
      <c r="T11" s="12" t="s">
        <v>318</v>
      </c>
      <c r="U11" s="12" t="s">
        <v>395</v>
      </c>
      <c r="V11" s="14" t="s">
        <v>320</v>
      </c>
      <c r="W11" s="12" t="s">
        <v>232</v>
      </c>
      <c r="X11" s="13" t="s">
        <v>321</v>
      </c>
      <c r="Y11" s="14" t="s">
        <v>322</v>
      </c>
      <c r="Z11" s="12" t="s">
        <v>796</v>
      </c>
      <c r="AA11" s="12" t="s">
        <v>788</v>
      </c>
    </row>
    <row r="12" spans="1:27">
      <c r="A12" s="12" t="s">
        <v>698</v>
      </c>
      <c r="B12" s="12" t="s">
        <v>699</v>
      </c>
      <c r="C12" s="12" t="s">
        <v>797</v>
      </c>
      <c r="D12" s="12" t="s">
        <v>780</v>
      </c>
      <c r="E12" s="12" t="s">
        <v>314</v>
      </c>
      <c r="F12" s="23">
        <v>45930</v>
      </c>
      <c r="G12" s="24">
        <v>133</v>
      </c>
      <c r="H12" s="12" t="s">
        <v>316</v>
      </c>
      <c r="I12" s="14" t="s">
        <v>317</v>
      </c>
      <c r="J12" s="24">
        <v>112.71</v>
      </c>
      <c r="K12" s="24">
        <v>20.29</v>
      </c>
      <c r="L12" s="24">
        <v>0</v>
      </c>
      <c r="M12" s="24">
        <v>0</v>
      </c>
      <c r="N12" s="24">
        <v>0</v>
      </c>
      <c r="O12" s="12" t="s">
        <v>295</v>
      </c>
      <c r="P12" s="13" t="s">
        <v>295</v>
      </c>
      <c r="Q12" s="13" t="s">
        <v>295</v>
      </c>
      <c r="R12" s="13" t="s">
        <v>295</v>
      </c>
      <c r="S12" s="13" t="s">
        <v>295</v>
      </c>
      <c r="T12" s="12" t="s">
        <v>318</v>
      </c>
      <c r="U12" s="12" t="s">
        <v>395</v>
      </c>
      <c r="V12" s="14" t="s">
        <v>320</v>
      </c>
      <c r="W12" s="12" t="s">
        <v>232</v>
      </c>
      <c r="X12" s="13" t="s">
        <v>321</v>
      </c>
      <c r="Y12" s="14" t="s">
        <v>322</v>
      </c>
      <c r="Z12" s="12" t="s">
        <v>798</v>
      </c>
      <c r="AA12" s="12" t="s">
        <v>788</v>
      </c>
    </row>
    <row r="13" spans="1:27">
      <c r="A13" s="12" t="s">
        <v>698</v>
      </c>
      <c r="B13" s="12" t="s">
        <v>699</v>
      </c>
      <c r="C13" s="12" t="s">
        <v>799</v>
      </c>
      <c r="D13" s="12" t="s">
        <v>780</v>
      </c>
      <c r="E13" s="12" t="s">
        <v>314</v>
      </c>
      <c r="F13" s="23">
        <v>45930</v>
      </c>
      <c r="G13" s="24">
        <v>813</v>
      </c>
      <c r="H13" s="12" t="s">
        <v>316</v>
      </c>
      <c r="I13" s="14" t="s">
        <v>317</v>
      </c>
      <c r="J13" s="24">
        <v>688.98</v>
      </c>
      <c r="K13" s="24">
        <v>124.02</v>
      </c>
      <c r="L13" s="24">
        <v>0</v>
      </c>
      <c r="M13" s="24">
        <v>0</v>
      </c>
      <c r="N13" s="24">
        <v>0</v>
      </c>
      <c r="O13" s="12" t="s">
        <v>295</v>
      </c>
      <c r="P13" s="13" t="s">
        <v>295</v>
      </c>
      <c r="Q13" s="13" t="s">
        <v>295</v>
      </c>
      <c r="R13" s="13" t="s">
        <v>295</v>
      </c>
      <c r="S13" s="13" t="s">
        <v>295</v>
      </c>
      <c r="T13" s="12" t="s">
        <v>318</v>
      </c>
      <c r="U13" s="12" t="s">
        <v>395</v>
      </c>
      <c r="V13" s="14" t="s">
        <v>320</v>
      </c>
      <c r="W13" s="12" t="s">
        <v>232</v>
      </c>
      <c r="X13" s="13" t="s">
        <v>321</v>
      </c>
      <c r="Y13" s="14" t="s">
        <v>322</v>
      </c>
      <c r="Z13" s="12" t="s">
        <v>800</v>
      </c>
      <c r="AA13" s="12" t="s">
        <v>788</v>
      </c>
    </row>
    <row r="14" spans="1:27">
      <c r="A14" s="12" t="s">
        <v>698</v>
      </c>
      <c r="B14" s="12" t="s">
        <v>699</v>
      </c>
      <c r="C14" s="12" t="s">
        <v>801</v>
      </c>
      <c r="D14" s="12" t="s">
        <v>780</v>
      </c>
      <c r="E14" s="12" t="s">
        <v>314</v>
      </c>
      <c r="F14" s="23">
        <v>45930</v>
      </c>
      <c r="G14" s="24">
        <v>5395</v>
      </c>
      <c r="H14" s="12" t="s">
        <v>316</v>
      </c>
      <c r="I14" s="14" t="s">
        <v>317</v>
      </c>
      <c r="J14" s="24">
        <v>4572.03</v>
      </c>
      <c r="K14" s="24">
        <v>822.97</v>
      </c>
      <c r="L14" s="24">
        <v>0</v>
      </c>
      <c r="M14" s="24">
        <v>0</v>
      </c>
      <c r="N14" s="24">
        <v>0</v>
      </c>
      <c r="O14" s="12" t="s">
        <v>295</v>
      </c>
      <c r="P14" s="13" t="s">
        <v>295</v>
      </c>
      <c r="Q14" s="13" t="s">
        <v>295</v>
      </c>
      <c r="R14" s="13" t="s">
        <v>295</v>
      </c>
      <c r="S14" s="13" t="s">
        <v>295</v>
      </c>
      <c r="T14" s="12" t="s">
        <v>318</v>
      </c>
      <c r="U14" s="12" t="s">
        <v>395</v>
      </c>
      <c r="V14" s="14" t="s">
        <v>320</v>
      </c>
      <c r="W14" s="12" t="s">
        <v>232</v>
      </c>
      <c r="X14" s="13" t="s">
        <v>321</v>
      </c>
      <c r="Y14" s="14" t="s">
        <v>322</v>
      </c>
      <c r="Z14" s="12" t="s">
        <v>802</v>
      </c>
      <c r="AA14" s="12" t="s">
        <v>788</v>
      </c>
    </row>
    <row r="15" spans="1:27">
      <c r="A15" s="12" t="s">
        <v>698</v>
      </c>
      <c r="B15" s="12" t="s">
        <v>699</v>
      </c>
      <c r="C15" s="12" t="s">
        <v>803</v>
      </c>
      <c r="D15" s="12" t="s">
        <v>780</v>
      </c>
      <c r="E15" s="12" t="s">
        <v>314</v>
      </c>
      <c r="F15" s="23">
        <v>45930</v>
      </c>
      <c r="G15" s="24">
        <v>9708</v>
      </c>
      <c r="H15" s="12" t="s">
        <v>316</v>
      </c>
      <c r="I15" s="14" t="s">
        <v>317</v>
      </c>
      <c r="J15" s="24">
        <v>8227.1200000000008</v>
      </c>
      <c r="K15" s="24">
        <v>1480.88</v>
      </c>
      <c r="L15" s="24">
        <v>0</v>
      </c>
      <c r="M15" s="24">
        <v>0</v>
      </c>
      <c r="N15" s="24">
        <v>0</v>
      </c>
      <c r="O15" s="12" t="s">
        <v>295</v>
      </c>
      <c r="P15" s="13" t="s">
        <v>295</v>
      </c>
      <c r="Q15" s="13" t="s">
        <v>295</v>
      </c>
      <c r="R15" s="13" t="s">
        <v>295</v>
      </c>
      <c r="S15" s="13" t="s">
        <v>295</v>
      </c>
      <c r="T15" s="12" t="s">
        <v>318</v>
      </c>
      <c r="U15" s="12" t="s">
        <v>395</v>
      </c>
      <c r="V15" s="14" t="s">
        <v>320</v>
      </c>
      <c r="W15" s="12" t="s">
        <v>232</v>
      </c>
      <c r="X15" s="13" t="s">
        <v>321</v>
      </c>
      <c r="Y15" s="14" t="s">
        <v>322</v>
      </c>
      <c r="Z15" s="12" t="s">
        <v>804</v>
      </c>
      <c r="AA15" s="12" t="s">
        <v>788</v>
      </c>
    </row>
    <row r="16" spans="1:27">
      <c r="A16" s="12" t="s">
        <v>698</v>
      </c>
      <c r="B16" s="12" t="s">
        <v>699</v>
      </c>
      <c r="C16" s="12" t="s">
        <v>805</v>
      </c>
      <c r="D16" s="12" t="s">
        <v>780</v>
      </c>
      <c r="E16" s="12" t="s">
        <v>314</v>
      </c>
      <c r="F16" s="23">
        <v>45930</v>
      </c>
      <c r="G16" s="24">
        <v>6195</v>
      </c>
      <c r="H16" s="12" t="s">
        <v>316</v>
      </c>
      <c r="I16" s="14" t="s">
        <v>317</v>
      </c>
      <c r="J16" s="24">
        <v>5250</v>
      </c>
      <c r="K16" s="24">
        <v>945</v>
      </c>
      <c r="L16" s="24">
        <v>0</v>
      </c>
      <c r="M16" s="24">
        <v>0</v>
      </c>
      <c r="N16" s="24">
        <v>0</v>
      </c>
      <c r="O16" s="12" t="s">
        <v>295</v>
      </c>
      <c r="P16" s="13" t="s">
        <v>295</v>
      </c>
      <c r="Q16" s="13" t="s">
        <v>295</v>
      </c>
      <c r="R16" s="13" t="s">
        <v>295</v>
      </c>
      <c r="S16" s="13" t="s">
        <v>295</v>
      </c>
      <c r="T16" s="12" t="s">
        <v>318</v>
      </c>
      <c r="U16" s="12" t="s">
        <v>395</v>
      </c>
      <c r="V16" s="14" t="s">
        <v>320</v>
      </c>
      <c r="W16" s="12" t="s">
        <v>232</v>
      </c>
      <c r="X16" s="13" t="s">
        <v>321</v>
      </c>
      <c r="Y16" s="14" t="s">
        <v>322</v>
      </c>
      <c r="Z16" s="12" t="s">
        <v>806</v>
      </c>
      <c r="AA16" s="12" t="s">
        <v>788</v>
      </c>
    </row>
    <row r="17" spans="1:27">
      <c r="A17" s="12" t="s">
        <v>698</v>
      </c>
      <c r="B17" s="12" t="s">
        <v>699</v>
      </c>
      <c r="C17" s="12" t="s">
        <v>807</v>
      </c>
      <c r="D17" s="12" t="s">
        <v>780</v>
      </c>
      <c r="E17" s="12" t="s">
        <v>314</v>
      </c>
      <c r="F17" s="23">
        <v>45930</v>
      </c>
      <c r="G17" s="24">
        <v>1890</v>
      </c>
      <c r="H17" s="12" t="s">
        <v>316</v>
      </c>
      <c r="I17" s="14" t="s">
        <v>317</v>
      </c>
      <c r="J17" s="24">
        <v>1601.7</v>
      </c>
      <c r="K17" s="24">
        <v>288.3</v>
      </c>
      <c r="L17" s="24">
        <v>0</v>
      </c>
      <c r="M17" s="24">
        <v>0</v>
      </c>
      <c r="N17" s="24">
        <v>0</v>
      </c>
      <c r="O17" s="12" t="s">
        <v>295</v>
      </c>
      <c r="P17" s="13" t="s">
        <v>295</v>
      </c>
      <c r="Q17" s="13" t="s">
        <v>295</v>
      </c>
      <c r="R17" s="13" t="s">
        <v>295</v>
      </c>
      <c r="S17" s="13" t="s">
        <v>295</v>
      </c>
      <c r="T17" s="12" t="s">
        <v>318</v>
      </c>
      <c r="U17" s="12" t="s">
        <v>395</v>
      </c>
      <c r="V17" s="14" t="s">
        <v>320</v>
      </c>
      <c r="W17" s="12" t="s">
        <v>232</v>
      </c>
      <c r="X17" s="13" t="s">
        <v>321</v>
      </c>
      <c r="Y17" s="14" t="s">
        <v>322</v>
      </c>
      <c r="Z17" s="12" t="s">
        <v>808</v>
      </c>
      <c r="AA17" s="12" t="s">
        <v>788</v>
      </c>
    </row>
    <row r="18" spans="1:27">
      <c r="A18" s="12" t="s">
        <v>698</v>
      </c>
      <c r="B18" s="12" t="s">
        <v>699</v>
      </c>
      <c r="C18" s="12" t="s">
        <v>809</v>
      </c>
      <c r="D18" s="12" t="s">
        <v>780</v>
      </c>
      <c r="E18" s="12" t="s">
        <v>314</v>
      </c>
      <c r="F18" s="23">
        <v>45930</v>
      </c>
      <c r="G18" s="24">
        <v>1811</v>
      </c>
      <c r="H18" s="12" t="s">
        <v>316</v>
      </c>
      <c r="I18" s="14" t="s">
        <v>317</v>
      </c>
      <c r="J18" s="24">
        <v>1534.74</v>
      </c>
      <c r="K18" s="24">
        <v>276.26</v>
      </c>
      <c r="L18" s="24">
        <v>0</v>
      </c>
      <c r="M18" s="24">
        <v>0</v>
      </c>
      <c r="N18" s="24">
        <v>0</v>
      </c>
      <c r="O18" s="12" t="s">
        <v>295</v>
      </c>
      <c r="P18" s="13" t="s">
        <v>295</v>
      </c>
      <c r="Q18" s="13" t="s">
        <v>295</v>
      </c>
      <c r="R18" s="13" t="s">
        <v>295</v>
      </c>
      <c r="S18" s="13" t="s">
        <v>295</v>
      </c>
      <c r="T18" s="12" t="s">
        <v>318</v>
      </c>
      <c r="U18" s="12" t="s">
        <v>395</v>
      </c>
      <c r="V18" s="14" t="s">
        <v>320</v>
      </c>
      <c r="W18" s="12" t="s">
        <v>232</v>
      </c>
      <c r="X18" s="13" t="s">
        <v>321</v>
      </c>
      <c r="Y18" s="14" t="s">
        <v>322</v>
      </c>
      <c r="Z18" s="12" t="s">
        <v>810</v>
      </c>
      <c r="AA18" s="12" t="s">
        <v>788</v>
      </c>
    </row>
    <row r="19" spans="1:27">
      <c r="A19" s="12" t="s">
        <v>698</v>
      </c>
      <c r="B19" s="12" t="s">
        <v>699</v>
      </c>
      <c r="C19" s="12" t="s">
        <v>811</v>
      </c>
      <c r="D19" s="12" t="s">
        <v>780</v>
      </c>
      <c r="E19" s="12" t="s">
        <v>314</v>
      </c>
      <c r="F19" s="23">
        <v>45930</v>
      </c>
      <c r="G19" s="24">
        <v>10844</v>
      </c>
      <c r="H19" s="12" t="s">
        <v>316</v>
      </c>
      <c r="I19" s="14" t="s">
        <v>317</v>
      </c>
      <c r="J19" s="24">
        <v>9189.83</v>
      </c>
      <c r="K19" s="24">
        <v>1654.17</v>
      </c>
      <c r="L19" s="24">
        <v>0</v>
      </c>
      <c r="M19" s="24">
        <v>0</v>
      </c>
      <c r="N19" s="24">
        <v>0</v>
      </c>
      <c r="O19" s="12" t="s">
        <v>295</v>
      </c>
      <c r="P19" s="13" t="s">
        <v>295</v>
      </c>
      <c r="Q19" s="13" t="s">
        <v>295</v>
      </c>
      <c r="R19" s="13" t="s">
        <v>295</v>
      </c>
      <c r="S19" s="13" t="s">
        <v>295</v>
      </c>
      <c r="T19" s="12" t="s">
        <v>318</v>
      </c>
      <c r="U19" s="12" t="s">
        <v>395</v>
      </c>
      <c r="V19" s="14" t="s">
        <v>320</v>
      </c>
      <c r="W19" s="12" t="s">
        <v>232</v>
      </c>
      <c r="X19" s="13" t="s">
        <v>321</v>
      </c>
      <c r="Y19" s="14" t="s">
        <v>322</v>
      </c>
      <c r="Z19" s="12" t="s">
        <v>812</v>
      </c>
      <c r="AA19" s="12" t="s">
        <v>788</v>
      </c>
    </row>
    <row r="20" spans="1:27">
      <c r="A20" s="12" t="s">
        <v>698</v>
      </c>
      <c r="B20" s="12" t="s">
        <v>699</v>
      </c>
      <c r="C20" s="12" t="s">
        <v>813</v>
      </c>
      <c r="D20" s="12" t="s">
        <v>780</v>
      </c>
      <c r="E20" s="12" t="s">
        <v>314</v>
      </c>
      <c r="F20" s="23">
        <v>45930</v>
      </c>
      <c r="G20" s="24">
        <v>3756</v>
      </c>
      <c r="H20" s="12" t="s">
        <v>316</v>
      </c>
      <c r="I20" s="14" t="s">
        <v>317</v>
      </c>
      <c r="J20" s="24">
        <v>3183.05</v>
      </c>
      <c r="K20" s="24">
        <v>572.95000000000005</v>
      </c>
      <c r="L20" s="24">
        <v>0</v>
      </c>
      <c r="M20" s="24">
        <v>0</v>
      </c>
      <c r="N20" s="24">
        <v>0</v>
      </c>
      <c r="O20" s="12" t="s">
        <v>295</v>
      </c>
      <c r="P20" s="13" t="s">
        <v>295</v>
      </c>
      <c r="Q20" s="13" t="s">
        <v>295</v>
      </c>
      <c r="R20" s="13" t="s">
        <v>295</v>
      </c>
      <c r="S20" s="13" t="s">
        <v>295</v>
      </c>
      <c r="T20" s="12" t="s">
        <v>318</v>
      </c>
      <c r="U20" s="12" t="s">
        <v>395</v>
      </c>
      <c r="V20" s="14" t="s">
        <v>320</v>
      </c>
      <c r="W20" s="12" t="s">
        <v>232</v>
      </c>
      <c r="X20" s="13" t="s">
        <v>321</v>
      </c>
      <c r="Y20" s="14" t="s">
        <v>322</v>
      </c>
      <c r="Z20" s="12" t="s">
        <v>814</v>
      </c>
      <c r="AA20" s="12" t="s">
        <v>788</v>
      </c>
    </row>
    <row r="21" spans="1:27">
      <c r="A21" s="12" t="s">
        <v>698</v>
      </c>
      <c r="B21" s="12" t="s">
        <v>699</v>
      </c>
      <c r="C21" s="12" t="s">
        <v>815</v>
      </c>
      <c r="D21" s="12" t="s">
        <v>780</v>
      </c>
      <c r="E21" s="12" t="s">
        <v>314</v>
      </c>
      <c r="F21" s="23">
        <v>45930</v>
      </c>
      <c r="G21" s="24">
        <v>6032</v>
      </c>
      <c r="H21" s="12" t="s">
        <v>316</v>
      </c>
      <c r="I21" s="14" t="s">
        <v>317</v>
      </c>
      <c r="J21" s="24">
        <v>5111.87</v>
      </c>
      <c r="K21" s="24">
        <v>920.13</v>
      </c>
      <c r="L21" s="24">
        <v>0</v>
      </c>
      <c r="M21" s="24">
        <v>0</v>
      </c>
      <c r="N21" s="24">
        <v>0</v>
      </c>
      <c r="O21" s="12" t="s">
        <v>295</v>
      </c>
      <c r="P21" s="13" t="s">
        <v>295</v>
      </c>
      <c r="Q21" s="13" t="s">
        <v>295</v>
      </c>
      <c r="R21" s="13" t="s">
        <v>295</v>
      </c>
      <c r="S21" s="13" t="s">
        <v>295</v>
      </c>
      <c r="T21" s="12" t="s">
        <v>318</v>
      </c>
      <c r="U21" s="12" t="s">
        <v>395</v>
      </c>
      <c r="V21" s="14" t="s">
        <v>320</v>
      </c>
      <c r="W21" s="12" t="s">
        <v>232</v>
      </c>
      <c r="X21" s="13" t="s">
        <v>321</v>
      </c>
      <c r="Y21" s="14" t="s">
        <v>322</v>
      </c>
      <c r="Z21" s="12" t="s">
        <v>816</v>
      </c>
      <c r="AA21" s="12" t="s">
        <v>788</v>
      </c>
    </row>
    <row r="22" spans="1:27">
      <c r="A22" s="12" t="s">
        <v>698</v>
      </c>
      <c r="B22" s="12" t="s">
        <v>699</v>
      </c>
      <c r="C22" s="12" t="s">
        <v>817</v>
      </c>
      <c r="D22" s="12" t="s">
        <v>780</v>
      </c>
      <c r="E22" s="12" t="s">
        <v>314</v>
      </c>
      <c r="F22" s="23">
        <v>45930</v>
      </c>
      <c r="G22" s="24">
        <v>2624</v>
      </c>
      <c r="H22" s="12" t="s">
        <v>316</v>
      </c>
      <c r="I22" s="14" t="s">
        <v>317</v>
      </c>
      <c r="J22" s="24">
        <v>2223.73</v>
      </c>
      <c r="K22" s="24">
        <v>400.27</v>
      </c>
      <c r="L22" s="24">
        <v>0</v>
      </c>
      <c r="M22" s="24">
        <v>0</v>
      </c>
      <c r="N22" s="24">
        <v>0</v>
      </c>
      <c r="O22" s="12" t="s">
        <v>295</v>
      </c>
      <c r="P22" s="13" t="s">
        <v>295</v>
      </c>
      <c r="Q22" s="13" t="s">
        <v>295</v>
      </c>
      <c r="R22" s="13" t="s">
        <v>295</v>
      </c>
      <c r="S22" s="13" t="s">
        <v>295</v>
      </c>
      <c r="T22" s="12" t="s">
        <v>318</v>
      </c>
      <c r="U22" s="12" t="s">
        <v>395</v>
      </c>
      <c r="V22" s="14" t="s">
        <v>320</v>
      </c>
      <c r="W22" s="12" t="s">
        <v>232</v>
      </c>
      <c r="X22" s="13" t="s">
        <v>321</v>
      </c>
      <c r="Y22" s="14" t="s">
        <v>322</v>
      </c>
      <c r="Z22" s="12" t="s">
        <v>818</v>
      </c>
      <c r="AA22" s="12" t="s">
        <v>788</v>
      </c>
    </row>
    <row r="23" spans="1:27">
      <c r="A23" s="12" t="s">
        <v>698</v>
      </c>
      <c r="B23" s="12" t="s">
        <v>699</v>
      </c>
      <c r="C23" s="12" t="s">
        <v>819</v>
      </c>
      <c r="D23" s="12" t="s">
        <v>780</v>
      </c>
      <c r="E23" s="12" t="s">
        <v>314</v>
      </c>
      <c r="F23" s="23">
        <v>45930</v>
      </c>
      <c r="G23" s="24">
        <v>4026</v>
      </c>
      <c r="H23" s="12" t="s">
        <v>316</v>
      </c>
      <c r="I23" s="14" t="s">
        <v>317</v>
      </c>
      <c r="J23" s="24">
        <v>3411.87</v>
      </c>
      <c r="K23" s="24">
        <v>614.13</v>
      </c>
      <c r="L23" s="24">
        <v>0</v>
      </c>
      <c r="M23" s="24">
        <v>0</v>
      </c>
      <c r="N23" s="24">
        <v>0</v>
      </c>
      <c r="O23" s="12" t="s">
        <v>295</v>
      </c>
      <c r="P23" s="13" t="s">
        <v>295</v>
      </c>
      <c r="Q23" s="13" t="s">
        <v>295</v>
      </c>
      <c r="R23" s="13" t="s">
        <v>295</v>
      </c>
      <c r="S23" s="13" t="s">
        <v>295</v>
      </c>
      <c r="T23" s="12" t="s">
        <v>318</v>
      </c>
      <c r="U23" s="12" t="s">
        <v>395</v>
      </c>
      <c r="V23" s="14" t="s">
        <v>320</v>
      </c>
      <c r="W23" s="12" t="s">
        <v>232</v>
      </c>
      <c r="X23" s="13" t="s">
        <v>321</v>
      </c>
      <c r="Y23" s="14" t="s">
        <v>322</v>
      </c>
      <c r="Z23" s="12" t="s">
        <v>820</v>
      </c>
      <c r="AA23" s="12" t="s">
        <v>788</v>
      </c>
    </row>
    <row r="24" spans="1:27">
      <c r="A24" s="12" t="s">
        <v>698</v>
      </c>
      <c r="B24" s="12" t="s">
        <v>699</v>
      </c>
      <c r="C24" s="12" t="s">
        <v>821</v>
      </c>
      <c r="D24" s="12" t="s">
        <v>780</v>
      </c>
      <c r="E24" s="12" t="s">
        <v>314</v>
      </c>
      <c r="F24" s="23">
        <v>45930</v>
      </c>
      <c r="G24" s="24">
        <v>535</v>
      </c>
      <c r="H24" s="12" t="s">
        <v>316</v>
      </c>
      <c r="I24" s="14" t="s">
        <v>317</v>
      </c>
      <c r="J24" s="24">
        <v>453.39</v>
      </c>
      <c r="K24" s="24">
        <v>81.61</v>
      </c>
      <c r="L24" s="24">
        <v>0</v>
      </c>
      <c r="M24" s="24">
        <v>0</v>
      </c>
      <c r="N24" s="24">
        <v>0</v>
      </c>
      <c r="O24" s="12" t="s">
        <v>295</v>
      </c>
      <c r="P24" s="13" t="s">
        <v>295</v>
      </c>
      <c r="Q24" s="13" t="s">
        <v>295</v>
      </c>
      <c r="R24" s="13" t="s">
        <v>295</v>
      </c>
      <c r="S24" s="13" t="s">
        <v>295</v>
      </c>
      <c r="T24" s="12" t="s">
        <v>318</v>
      </c>
      <c r="U24" s="12" t="s">
        <v>395</v>
      </c>
      <c r="V24" s="14" t="s">
        <v>320</v>
      </c>
      <c r="W24" s="12" t="s">
        <v>232</v>
      </c>
      <c r="X24" s="13" t="s">
        <v>321</v>
      </c>
      <c r="Y24" s="14" t="s">
        <v>322</v>
      </c>
      <c r="Z24" s="12" t="s">
        <v>822</v>
      </c>
      <c r="AA24" s="12" t="s">
        <v>788</v>
      </c>
    </row>
    <row r="25" spans="1:27">
      <c r="A25" s="12" t="s">
        <v>698</v>
      </c>
      <c r="B25" s="12" t="s">
        <v>699</v>
      </c>
      <c r="C25" s="12" t="s">
        <v>823</v>
      </c>
      <c r="D25" s="12" t="s">
        <v>780</v>
      </c>
      <c r="E25" s="12" t="s">
        <v>314</v>
      </c>
      <c r="F25" s="23">
        <v>45930</v>
      </c>
      <c r="G25" s="24">
        <v>2998</v>
      </c>
      <c r="H25" s="12" t="s">
        <v>316</v>
      </c>
      <c r="I25" s="14" t="s">
        <v>317</v>
      </c>
      <c r="J25" s="24">
        <v>2540.6799999999998</v>
      </c>
      <c r="K25" s="24">
        <v>457.32</v>
      </c>
      <c r="L25" s="24">
        <v>0</v>
      </c>
      <c r="M25" s="24">
        <v>0</v>
      </c>
      <c r="N25" s="24">
        <v>0</v>
      </c>
      <c r="O25" s="12" t="s">
        <v>295</v>
      </c>
      <c r="P25" s="13" t="s">
        <v>295</v>
      </c>
      <c r="Q25" s="13" t="s">
        <v>295</v>
      </c>
      <c r="R25" s="13" t="s">
        <v>295</v>
      </c>
      <c r="S25" s="13" t="s">
        <v>295</v>
      </c>
      <c r="T25" s="12" t="s">
        <v>318</v>
      </c>
      <c r="U25" s="12" t="s">
        <v>395</v>
      </c>
      <c r="V25" s="14" t="s">
        <v>320</v>
      </c>
      <c r="W25" s="12" t="s">
        <v>232</v>
      </c>
      <c r="X25" s="13" t="s">
        <v>321</v>
      </c>
      <c r="Y25" s="14" t="s">
        <v>322</v>
      </c>
      <c r="Z25" s="12" t="s">
        <v>824</v>
      </c>
      <c r="AA25" s="12" t="s">
        <v>788</v>
      </c>
    </row>
    <row r="26" spans="1:27">
      <c r="A26" s="12" t="s">
        <v>698</v>
      </c>
      <c r="B26" s="12" t="s">
        <v>699</v>
      </c>
      <c r="C26" s="12" t="s">
        <v>825</v>
      </c>
      <c r="D26" s="12" t="s">
        <v>780</v>
      </c>
      <c r="E26" s="12" t="s">
        <v>314</v>
      </c>
      <c r="F26" s="23">
        <v>45930</v>
      </c>
      <c r="G26" s="24">
        <v>3056</v>
      </c>
      <c r="H26" s="12" t="s">
        <v>316</v>
      </c>
      <c r="I26" s="14" t="s">
        <v>317</v>
      </c>
      <c r="J26" s="24">
        <v>2589.83</v>
      </c>
      <c r="K26" s="24">
        <v>466.17</v>
      </c>
      <c r="L26" s="24">
        <v>0</v>
      </c>
      <c r="M26" s="24">
        <v>0</v>
      </c>
      <c r="N26" s="24">
        <v>0</v>
      </c>
      <c r="O26" s="12" t="s">
        <v>295</v>
      </c>
      <c r="P26" s="13" t="s">
        <v>295</v>
      </c>
      <c r="Q26" s="13" t="s">
        <v>295</v>
      </c>
      <c r="R26" s="13" t="s">
        <v>295</v>
      </c>
      <c r="S26" s="13" t="s">
        <v>295</v>
      </c>
      <c r="T26" s="12" t="s">
        <v>318</v>
      </c>
      <c r="U26" s="12" t="s">
        <v>395</v>
      </c>
      <c r="V26" s="14" t="s">
        <v>320</v>
      </c>
      <c r="W26" s="12" t="s">
        <v>232</v>
      </c>
      <c r="X26" s="13" t="s">
        <v>321</v>
      </c>
      <c r="Y26" s="14" t="s">
        <v>322</v>
      </c>
      <c r="Z26" s="12" t="s">
        <v>826</v>
      </c>
      <c r="AA26" s="12" t="s">
        <v>788</v>
      </c>
    </row>
    <row r="27" spans="1:27">
      <c r="A27" s="12" t="s">
        <v>827</v>
      </c>
      <c r="B27" s="12" t="s">
        <v>828</v>
      </c>
      <c r="C27" s="12" t="s">
        <v>829</v>
      </c>
      <c r="D27" s="12" t="s">
        <v>830</v>
      </c>
      <c r="E27" s="12" t="s">
        <v>314</v>
      </c>
      <c r="F27" s="23">
        <v>45915</v>
      </c>
      <c r="G27" s="24">
        <v>4865</v>
      </c>
      <c r="H27" s="12" t="s">
        <v>316</v>
      </c>
      <c r="I27" s="14" t="s">
        <v>317</v>
      </c>
      <c r="J27" s="24">
        <v>4122.88</v>
      </c>
      <c r="K27" s="24">
        <v>742.12</v>
      </c>
      <c r="L27" s="24">
        <v>0</v>
      </c>
      <c r="M27" s="24">
        <v>0</v>
      </c>
      <c r="N27" s="24">
        <v>0</v>
      </c>
      <c r="O27" s="16" t="s">
        <v>232</v>
      </c>
      <c r="P27" s="17" t="s">
        <v>232</v>
      </c>
      <c r="Q27" s="17" t="s">
        <v>232</v>
      </c>
      <c r="R27" s="17" t="s">
        <v>232</v>
      </c>
      <c r="S27" s="17" t="s">
        <v>232</v>
      </c>
      <c r="T27" s="12" t="s">
        <v>318</v>
      </c>
      <c r="U27" s="12" t="s">
        <v>395</v>
      </c>
      <c r="V27" s="14" t="s">
        <v>320</v>
      </c>
      <c r="W27" s="12" t="s">
        <v>232</v>
      </c>
      <c r="X27" s="13" t="s">
        <v>321</v>
      </c>
      <c r="Y27" s="14" t="s">
        <v>322</v>
      </c>
      <c r="Z27" s="12" t="s">
        <v>831</v>
      </c>
      <c r="AA27" s="12" t="s">
        <v>423</v>
      </c>
    </row>
    <row r="28" spans="1:27">
      <c r="A28" s="12" t="s">
        <v>658</v>
      </c>
      <c r="B28" s="12" t="s">
        <v>659</v>
      </c>
      <c r="C28" s="12" t="s">
        <v>832</v>
      </c>
      <c r="D28" s="12" t="s">
        <v>780</v>
      </c>
      <c r="E28" s="12" t="s">
        <v>314</v>
      </c>
      <c r="F28" s="23">
        <v>45901</v>
      </c>
      <c r="G28" s="24">
        <v>17421</v>
      </c>
      <c r="H28" s="12" t="s">
        <v>316</v>
      </c>
      <c r="I28" s="14" t="s">
        <v>317</v>
      </c>
      <c r="J28" s="24">
        <v>14763.44</v>
      </c>
      <c r="K28" s="24">
        <v>0</v>
      </c>
      <c r="L28" s="24">
        <v>1328.71</v>
      </c>
      <c r="M28" s="24">
        <v>1328.71</v>
      </c>
      <c r="N28" s="24">
        <v>0</v>
      </c>
      <c r="O28" s="12" t="s">
        <v>295</v>
      </c>
      <c r="P28" s="13" t="s">
        <v>295</v>
      </c>
      <c r="Q28" s="13" t="s">
        <v>295</v>
      </c>
      <c r="R28" s="13" t="s">
        <v>295</v>
      </c>
      <c r="S28" s="13" t="s">
        <v>295</v>
      </c>
      <c r="T28" s="12" t="s">
        <v>318</v>
      </c>
      <c r="U28" s="12" t="s">
        <v>384</v>
      </c>
      <c r="V28" s="14" t="s">
        <v>320</v>
      </c>
      <c r="W28" s="12" t="s">
        <v>232</v>
      </c>
      <c r="X28" s="13" t="s">
        <v>321</v>
      </c>
      <c r="Y28" s="14" t="s">
        <v>232</v>
      </c>
      <c r="Z28" s="12" t="s">
        <v>232</v>
      </c>
      <c r="AA28" s="12" t="s">
        <v>232</v>
      </c>
    </row>
    <row r="29" spans="1:27">
      <c r="A29" s="12" t="s">
        <v>425</v>
      </c>
      <c r="B29" s="12" t="s">
        <v>426</v>
      </c>
      <c r="C29" s="12" t="s">
        <v>833</v>
      </c>
      <c r="D29" s="12" t="s">
        <v>780</v>
      </c>
      <c r="E29" s="12" t="s">
        <v>314</v>
      </c>
      <c r="F29" s="23">
        <v>45926</v>
      </c>
      <c r="G29" s="24">
        <v>4310</v>
      </c>
      <c r="H29" s="12" t="s">
        <v>316</v>
      </c>
      <c r="I29" s="14" t="s">
        <v>317</v>
      </c>
      <c r="J29" s="24">
        <v>3652.54</v>
      </c>
      <c r="K29" s="24">
        <v>0</v>
      </c>
      <c r="L29" s="24">
        <v>328.73</v>
      </c>
      <c r="M29" s="24">
        <v>328.73</v>
      </c>
      <c r="N29" s="24">
        <v>0</v>
      </c>
      <c r="O29" s="12" t="s">
        <v>295</v>
      </c>
      <c r="P29" s="13" t="s">
        <v>295</v>
      </c>
      <c r="Q29" s="13" t="s">
        <v>295</v>
      </c>
      <c r="R29" s="13" t="s">
        <v>295</v>
      </c>
      <c r="S29" s="13" t="s">
        <v>295</v>
      </c>
      <c r="T29" s="12" t="s">
        <v>318</v>
      </c>
      <c r="U29" s="12" t="s">
        <v>384</v>
      </c>
      <c r="V29" s="14" t="s">
        <v>320</v>
      </c>
      <c r="W29" s="12" t="s">
        <v>232</v>
      </c>
      <c r="X29" s="13" t="s">
        <v>321</v>
      </c>
      <c r="Y29" s="14" t="s">
        <v>232</v>
      </c>
      <c r="Z29" s="12" t="s">
        <v>232</v>
      </c>
      <c r="AA29" s="12" t="s">
        <v>232</v>
      </c>
    </row>
    <row r="30" spans="1:27">
      <c r="A30" s="12" t="s">
        <v>562</v>
      </c>
      <c r="B30" s="12" t="s">
        <v>563</v>
      </c>
      <c r="C30" s="12" t="s">
        <v>834</v>
      </c>
      <c r="D30" s="12" t="s">
        <v>780</v>
      </c>
      <c r="E30" s="12" t="s">
        <v>314</v>
      </c>
      <c r="F30" s="23">
        <v>45904</v>
      </c>
      <c r="G30" s="24">
        <v>6188.59</v>
      </c>
      <c r="H30" s="12" t="s">
        <v>316</v>
      </c>
      <c r="I30" s="14" t="s">
        <v>317</v>
      </c>
      <c r="J30" s="24">
        <v>5244.56</v>
      </c>
      <c r="K30" s="24">
        <v>944.03</v>
      </c>
      <c r="L30" s="24">
        <v>0</v>
      </c>
      <c r="M30" s="24">
        <v>0</v>
      </c>
      <c r="N30" s="24">
        <v>0</v>
      </c>
      <c r="O30" s="12" t="s">
        <v>295</v>
      </c>
      <c r="P30" s="13" t="s">
        <v>295</v>
      </c>
      <c r="Q30" s="13" t="s">
        <v>295</v>
      </c>
      <c r="R30" s="13" t="s">
        <v>295</v>
      </c>
      <c r="S30" s="13" t="s">
        <v>295</v>
      </c>
      <c r="T30" s="12" t="s">
        <v>318</v>
      </c>
      <c r="U30" s="12" t="s">
        <v>319</v>
      </c>
      <c r="V30" s="14" t="s">
        <v>320</v>
      </c>
      <c r="W30" s="12" t="s">
        <v>232</v>
      </c>
      <c r="X30" s="13" t="s">
        <v>321</v>
      </c>
      <c r="Y30" s="14" t="s">
        <v>232</v>
      </c>
      <c r="Z30" s="12" t="s">
        <v>232</v>
      </c>
      <c r="AA30" s="12" t="s">
        <v>232</v>
      </c>
    </row>
    <row r="31" spans="1:27">
      <c r="A31" s="12" t="s">
        <v>562</v>
      </c>
      <c r="B31" s="12" t="s">
        <v>563</v>
      </c>
      <c r="C31" s="12" t="s">
        <v>835</v>
      </c>
      <c r="D31" s="12" t="s">
        <v>780</v>
      </c>
      <c r="E31" s="12" t="s">
        <v>314</v>
      </c>
      <c r="F31" s="23">
        <v>45904</v>
      </c>
      <c r="G31" s="24">
        <v>4843.2700000000004</v>
      </c>
      <c r="H31" s="12" t="s">
        <v>316</v>
      </c>
      <c r="I31" s="14" t="s">
        <v>317</v>
      </c>
      <c r="J31" s="24">
        <v>4104.47</v>
      </c>
      <c r="K31" s="24">
        <v>738.8</v>
      </c>
      <c r="L31" s="24">
        <v>0</v>
      </c>
      <c r="M31" s="24">
        <v>0</v>
      </c>
      <c r="N31" s="24">
        <v>0</v>
      </c>
      <c r="O31" s="12" t="s">
        <v>295</v>
      </c>
      <c r="P31" s="13" t="s">
        <v>295</v>
      </c>
      <c r="Q31" s="13" t="s">
        <v>295</v>
      </c>
      <c r="R31" s="13" t="s">
        <v>295</v>
      </c>
      <c r="S31" s="13" t="s">
        <v>295</v>
      </c>
      <c r="T31" s="12" t="s">
        <v>318</v>
      </c>
      <c r="U31" s="12" t="s">
        <v>319</v>
      </c>
      <c r="V31" s="14" t="s">
        <v>320</v>
      </c>
      <c r="W31" s="12" t="s">
        <v>232</v>
      </c>
      <c r="X31" s="13" t="s">
        <v>321</v>
      </c>
      <c r="Y31" s="14" t="s">
        <v>232</v>
      </c>
      <c r="Z31" s="12" t="s">
        <v>232</v>
      </c>
      <c r="AA31" s="12" t="s">
        <v>232</v>
      </c>
    </row>
    <row r="32" spans="1:27">
      <c r="A32" s="12" t="s">
        <v>562</v>
      </c>
      <c r="B32" s="12" t="s">
        <v>563</v>
      </c>
      <c r="C32" s="12" t="s">
        <v>836</v>
      </c>
      <c r="D32" s="12" t="s">
        <v>780</v>
      </c>
      <c r="E32" s="12" t="s">
        <v>314</v>
      </c>
      <c r="F32" s="23">
        <v>45904</v>
      </c>
      <c r="G32" s="24">
        <v>3899.94</v>
      </c>
      <c r="H32" s="12" t="s">
        <v>316</v>
      </c>
      <c r="I32" s="14" t="s">
        <v>317</v>
      </c>
      <c r="J32" s="24">
        <v>3305.03</v>
      </c>
      <c r="K32" s="24">
        <v>594.91</v>
      </c>
      <c r="L32" s="24">
        <v>0</v>
      </c>
      <c r="M32" s="24">
        <v>0</v>
      </c>
      <c r="N32" s="24">
        <v>0</v>
      </c>
      <c r="O32" s="12" t="s">
        <v>295</v>
      </c>
      <c r="P32" s="13" t="s">
        <v>295</v>
      </c>
      <c r="Q32" s="13" t="s">
        <v>295</v>
      </c>
      <c r="R32" s="13" t="s">
        <v>295</v>
      </c>
      <c r="S32" s="13" t="s">
        <v>295</v>
      </c>
      <c r="T32" s="12" t="s">
        <v>318</v>
      </c>
      <c r="U32" s="12" t="s">
        <v>319</v>
      </c>
      <c r="V32" s="14" t="s">
        <v>320</v>
      </c>
      <c r="W32" s="12" t="s">
        <v>232</v>
      </c>
      <c r="X32" s="13" t="s">
        <v>321</v>
      </c>
      <c r="Y32" s="14" t="s">
        <v>232</v>
      </c>
      <c r="Z32" s="12" t="s">
        <v>232</v>
      </c>
      <c r="AA32" s="12" t="s">
        <v>232</v>
      </c>
    </row>
    <row r="33" spans="1:27">
      <c r="A33" s="12" t="s">
        <v>562</v>
      </c>
      <c r="B33" s="12" t="s">
        <v>563</v>
      </c>
      <c r="C33" s="12" t="s">
        <v>837</v>
      </c>
      <c r="D33" s="12" t="s">
        <v>780</v>
      </c>
      <c r="E33" s="12" t="s">
        <v>314</v>
      </c>
      <c r="F33" s="23">
        <v>45904</v>
      </c>
      <c r="G33" s="24">
        <v>3430.16</v>
      </c>
      <c r="H33" s="12" t="s">
        <v>316</v>
      </c>
      <c r="I33" s="14" t="s">
        <v>317</v>
      </c>
      <c r="J33" s="24">
        <v>2906.91</v>
      </c>
      <c r="K33" s="24">
        <v>523.25</v>
      </c>
      <c r="L33" s="24">
        <v>0</v>
      </c>
      <c r="M33" s="24">
        <v>0</v>
      </c>
      <c r="N33" s="24">
        <v>0</v>
      </c>
      <c r="O33" s="12" t="s">
        <v>295</v>
      </c>
      <c r="P33" s="13" t="s">
        <v>295</v>
      </c>
      <c r="Q33" s="13" t="s">
        <v>295</v>
      </c>
      <c r="R33" s="13" t="s">
        <v>295</v>
      </c>
      <c r="S33" s="13" t="s">
        <v>295</v>
      </c>
      <c r="T33" s="12" t="s">
        <v>318</v>
      </c>
      <c r="U33" s="12" t="s">
        <v>319</v>
      </c>
      <c r="V33" s="14" t="s">
        <v>320</v>
      </c>
      <c r="W33" s="12" t="s">
        <v>232</v>
      </c>
      <c r="X33" s="13" t="s">
        <v>321</v>
      </c>
      <c r="Y33" s="14" t="s">
        <v>232</v>
      </c>
      <c r="Z33" s="12" t="s">
        <v>232</v>
      </c>
      <c r="AA33" s="12" t="s">
        <v>232</v>
      </c>
    </row>
    <row r="34" spans="1:27">
      <c r="A34" s="12" t="s">
        <v>562</v>
      </c>
      <c r="B34" s="12" t="s">
        <v>563</v>
      </c>
      <c r="C34" s="12" t="s">
        <v>838</v>
      </c>
      <c r="D34" s="12" t="s">
        <v>780</v>
      </c>
      <c r="E34" s="12" t="s">
        <v>314</v>
      </c>
      <c r="F34" s="23">
        <v>45905</v>
      </c>
      <c r="G34" s="24">
        <v>3050.3</v>
      </c>
      <c r="H34" s="12" t="s">
        <v>316</v>
      </c>
      <c r="I34" s="14" t="s">
        <v>317</v>
      </c>
      <c r="J34" s="24">
        <v>2585</v>
      </c>
      <c r="K34" s="24">
        <v>465.3</v>
      </c>
      <c r="L34" s="24">
        <v>0</v>
      </c>
      <c r="M34" s="24">
        <v>0</v>
      </c>
      <c r="N34" s="24">
        <v>0</v>
      </c>
      <c r="O34" s="12" t="s">
        <v>295</v>
      </c>
      <c r="P34" s="13" t="s">
        <v>295</v>
      </c>
      <c r="Q34" s="13" t="s">
        <v>295</v>
      </c>
      <c r="R34" s="13" t="s">
        <v>295</v>
      </c>
      <c r="S34" s="13" t="s">
        <v>295</v>
      </c>
      <c r="T34" s="12" t="s">
        <v>318</v>
      </c>
      <c r="U34" s="12" t="s">
        <v>319</v>
      </c>
      <c r="V34" s="14" t="s">
        <v>320</v>
      </c>
      <c r="W34" s="12" t="s">
        <v>232</v>
      </c>
      <c r="X34" s="13" t="s">
        <v>321</v>
      </c>
      <c r="Y34" s="14" t="s">
        <v>232</v>
      </c>
      <c r="Z34" s="12" t="s">
        <v>232</v>
      </c>
      <c r="AA34" s="12" t="s">
        <v>232</v>
      </c>
    </row>
    <row r="35" spans="1:27">
      <c r="G35" s="25"/>
      <c r="J35" s="25"/>
      <c r="K35" s="25"/>
      <c r="L35" s="25"/>
      <c r="M35" s="25"/>
      <c r="N35" s="25"/>
    </row>
    <row r="36" spans="1:27">
      <c r="G36" s="25"/>
      <c r="J36" s="26">
        <f>SUM(J4:J35)</f>
        <v>108996.19</v>
      </c>
      <c r="K36" s="26">
        <f t="shared" ref="K36:M36" si="0">SUM(K4:K35)</f>
        <v>16304.45</v>
      </c>
      <c r="L36" s="26">
        <f t="shared" si="0"/>
        <v>1657.44</v>
      </c>
      <c r="M36" s="26">
        <f t="shared" si="0"/>
        <v>1657.44</v>
      </c>
      <c r="N36" s="25"/>
    </row>
  </sheetData>
  <autoFilter ref="A3:AA36" xr:uid="{00000000-0001-0000-0700-000000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7"/>
  <sheetViews>
    <sheetView workbookViewId="0">
      <selection sqref="A1:AA3"/>
    </sheetView>
  </sheetViews>
  <sheetFormatPr defaultRowHeight="15"/>
  <cols>
    <col min="1" max="5" width="20" customWidth="1"/>
    <col min="6" max="9" width="15.85546875" customWidth="1"/>
    <col min="10" max="25" width="20" customWidth="1"/>
    <col min="26" max="26" width="35" customWidth="1"/>
    <col min="27" max="27" width="20" customWidth="1"/>
  </cols>
  <sheetData>
    <row r="1" spans="1:27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27">
      <c r="A4" s="47" t="s">
        <v>839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>
      <c r="A5" s="48" t="s">
        <v>770</v>
      </c>
      <c r="B5" s="48"/>
      <c r="C5" s="48"/>
      <c r="D5" s="49" t="s">
        <v>771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>
      <c r="A6" s="46" t="s">
        <v>82</v>
      </c>
      <c r="B6" s="46" t="s">
        <v>80</v>
      </c>
      <c r="C6" s="46" t="s">
        <v>86</v>
      </c>
      <c r="D6" s="46" t="s">
        <v>20</v>
      </c>
      <c r="E6" s="46" t="s">
        <v>21</v>
      </c>
      <c r="F6" s="46" t="s">
        <v>774</v>
      </c>
      <c r="G6" s="46"/>
      <c r="H6" s="46"/>
      <c r="I6" s="46"/>
      <c r="J6" s="46"/>
      <c r="K6" s="46" t="s">
        <v>30</v>
      </c>
      <c r="L6" s="46" t="s">
        <v>301</v>
      </c>
      <c r="M6" s="46" t="s">
        <v>302</v>
      </c>
      <c r="N6" s="46" t="s">
        <v>303</v>
      </c>
      <c r="O6" s="46"/>
      <c r="P6" s="46"/>
      <c r="Q6" s="46"/>
      <c r="R6" s="46" t="s">
        <v>70</v>
      </c>
      <c r="S6" s="50" t="s">
        <v>772</v>
      </c>
      <c r="T6" s="50"/>
      <c r="U6" s="50"/>
      <c r="V6" s="50"/>
      <c r="W6" s="46" t="s">
        <v>43</v>
      </c>
      <c r="X6" s="46" t="s">
        <v>45</v>
      </c>
      <c r="Y6" s="46" t="s">
        <v>47</v>
      </c>
      <c r="Z6" s="46" t="s">
        <v>49</v>
      </c>
      <c r="AA6" s="46" t="s">
        <v>51</v>
      </c>
    </row>
    <row r="7" spans="1:27">
      <c r="A7" s="46"/>
      <c r="B7" s="46"/>
      <c r="C7" s="46"/>
      <c r="D7" s="46"/>
      <c r="E7" s="46"/>
      <c r="F7" s="11" t="s">
        <v>80</v>
      </c>
      <c r="G7" s="11" t="s">
        <v>82</v>
      </c>
      <c r="H7" s="11" t="s">
        <v>775</v>
      </c>
      <c r="I7" s="11" t="s">
        <v>86</v>
      </c>
      <c r="J7" s="11" t="s">
        <v>776</v>
      </c>
      <c r="K7" s="46"/>
      <c r="L7" s="46"/>
      <c r="M7" s="46"/>
      <c r="N7" s="11" t="s">
        <v>307</v>
      </c>
      <c r="O7" s="11" t="s">
        <v>308</v>
      </c>
      <c r="P7" s="11" t="s">
        <v>309</v>
      </c>
      <c r="Q7" s="11" t="s">
        <v>310</v>
      </c>
      <c r="R7" s="46"/>
      <c r="S7" s="11" t="s">
        <v>307</v>
      </c>
      <c r="T7" s="11" t="s">
        <v>308</v>
      </c>
      <c r="U7" s="11" t="s">
        <v>309</v>
      </c>
      <c r="V7" s="11" t="s">
        <v>310</v>
      </c>
      <c r="W7" s="46"/>
      <c r="X7" s="46"/>
      <c r="Y7" s="46"/>
      <c r="Z7" s="46"/>
      <c r="AA7" s="46"/>
    </row>
  </sheetData>
  <mergeCells count="21">
    <mergeCell ref="W6:W7"/>
    <mergeCell ref="X6:X7"/>
    <mergeCell ref="Y6:Y7"/>
    <mergeCell ref="Z6:Z7"/>
    <mergeCell ref="AA6:AA7"/>
    <mergeCell ref="A1:AA3"/>
    <mergeCell ref="A4:AA4"/>
    <mergeCell ref="A5:C5"/>
    <mergeCell ref="D5:AA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"/>
  <sheetViews>
    <sheetView workbookViewId="0">
      <selection sqref="A1:S3"/>
    </sheetView>
  </sheetViews>
  <sheetFormatPr defaultRowHeight="15"/>
  <cols>
    <col min="1" max="2" width="20" customWidth="1"/>
    <col min="3" max="3" width="16.85546875" customWidth="1"/>
    <col min="4" max="5" width="15.85546875" customWidth="1"/>
    <col min="6" max="16" width="20" customWidth="1"/>
    <col min="17" max="20" width="10.140625" customWidth="1"/>
  </cols>
  <sheetData>
    <row r="1" spans="1:19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>
      <c r="A4" s="47" t="s">
        <v>99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>
      <c r="A5" s="46" t="s">
        <v>100</v>
      </c>
      <c r="B5" s="46" t="s">
        <v>21</v>
      </c>
      <c r="C5" s="46" t="s">
        <v>840</v>
      </c>
      <c r="D5" s="46"/>
      <c r="E5" s="46"/>
      <c r="F5" s="46"/>
      <c r="G5" s="46" t="s">
        <v>30</v>
      </c>
      <c r="H5" s="46" t="s">
        <v>841</v>
      </c>
      <c r="I5" s="46" t="s">
        <v>842</v>
      </c>
      <c r="J5" s="46"/>
      <c r="K5" s="46"/>
      <c r="L5" s="46"/>
      <c r="M5" s="46" t="s">
        <v>111</v>
      </c>
      <c r="N5" s="46" t="s">
        <v>113</v>
      </c>
      <c r="O5" s="46" t="s">
        <v>115</v>
      </c>
      <c r="P5" s="46" t="s">
        <v>49</v>
      </c>
      <c r="Q5" s="46" t="s">
        <v>53</v>
      </c>
      <c r="R5" s="46" t="s">
        <v>55</v>
      </c>
      <c r="S5" s="46" t="s">
        <v>304</v>
      </c>
    </row>
    <row r="6" spans="1:19">
      <c r="A6" s="46"/>
      <c r="B6" s="46"/>
      <c r="C6" s="11" t="s">
        <v>103</v>
      </c>
      <c r="D6" s="11" t="s">
        <v>104</v>
      </c>
      <c r="E6" s="11" t="s">
        <v>106</v>
      </c>
      <c r="F6" s="11" t="s">
        <v>843</v>
      </c>
      <c r="G6" s="46"/>
      <c r="H6" s="46"/>
      <c r="I6" s="11" t="s">
        <v>307</v>
      </c>
      <c r="J6" s="11" t="s">
        <v>308</v>
      </c>
      <c r="K6" s="11" t="s">
        <v>309</v>
      </c>
      <c r="L6" s="11" t="s">
        <v>310</v>
      </c>
      <c r="M6" s="46"/>
      <c r="N6" s="46"/>
      <c r="O6" s="46"/>
      <c r="P6" s="46"/>
      <c r="Q6" s="46"/>
      <c r="R6" s="46"/>
      <c r="S6" s="4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"/>
  <sheetViews>
    <sheetView workbookViewId="0">
      <selection sqref="A1:W3"/>
    </sheetView>
  </sheetViews>
  <sheetFormatPr defaultRowHeight="1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6" width="16" customWidth="1"/>
    <col min="17" max="17" width="18" customWidth="1"/>
    <col min="18" max="22" width="20" customWidth="1"/>
    <col min="23" max="23" width="35" customWidth="1"/>
  </cols>
  <sheetData>
    <row r="1" spans="1:2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3" spans="1:2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spans="1:23">
      <c r="A4" s="47" t="s">
        <v>120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</row>
    <row r="5" spans="1:23">
      <c r="A5" s="48" t="s">
        <v>770</v>
      </c>
      <c r="B5" s="48"/>
      <c r="C5" s="49" t="s">
        <v>771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</row>
    <row r="6" spans="1:23">
      <c r="A6" s="46" t="s">
        <v>103</v>
      </c>
      <c r="B6" s="46" t="s">
        <v>106</v>
      </c>
      <c r="C6" s="46" t="s">
        <v>100</v>
      </c>
      <c r="D6" s="46" t="s">
        <v>21</v>
      </c>
      <c r="E6" s="46" t="s">
        <v>840</v>
      </c>
      <c r="F6" s="46"/>
      <c r="G6" s="46"/>
      <c r="H6" s="46"/>
      <c r="I6" s="46" t="s">
        <v>30</v>
      </c>
      <c r="J6" s="46" t="s">
        <v>841</v>
      </c>
      <c r="K6" s="46" t="s">
        <v>842</v>
      </c>
      <c r="L6" s="46"/>
      <c r="M6" s="46"/>
      <c r="N6" s="46"/>
      <c r="O6" s="46" t="s">
        <v>70</v>
      </c>
      <c r="P6" s="50" t="s">
        <v>772</v>
      </c>
      <c r="Q6" s="50"/>
      <c r="R6" s="50"/>
      <c r="S6" s="50"/>
      <c r="T6" s="46" t="s">
        <v>111</v>
      </c>
      <c r="U6" s="46" t="s">
        <v>113</v>
      </c>
      <c r="V6" s="46" t="s">
        <v>115</v>
      </c>
      <c r="W6" s="46" t="s">
        <v>49</v>
      </c>
    </row>
    <row r="7" spans="1:23">
      <c r="A7" s="46"/>
      <c r="B7" s="46"/>
      <c r="C7" s="46"/>
      <c r="D7" s="46"/>
      <c r="E7" s="11" t="s">
        <v>103</v>
      </c>
      <c r="F7" s="11" t="s">
        <v>104</v>
      </c>
      <c r="G7" s="11" t="s">
        <v>106</v>
      </c>
      <c r="H7" s="11" t="s">
        <v>843</v>
      </c>
      <c r="I7" s="46"/>
      <c r="J7" s="46"/>
      <c r="K7" s="11" t="s">
        <v>307</v>
      </c>
      <c r="L7" s="11" t="s">
        <v>308</v>
      </c>
      <c r="M7" s="11" t="s">
        <v>309</v>
      </c>
      <c r="N7" s="11" t="s">
        <v>310</v>
      </c>
      <c r="O7" s="46"/>
      <c r="P7" s="11" t="s">
        <v>307</v>
      </c>
      <c r="Q7" s="11" t="s">
        <v>308</v>
      </c>
      <c r="R7" s="11" t="s">
        <v>309</v>
      </c>
      <c r="S7" s="11" t="s">
        <v>310</v>
      </c>
      <c r="T7" s="46"/>
      <c r="U7" s="46"/>
      <c r="V7" s="46"/>
      <c r="W7" s="46"/>
    </row>
  </sheetData>
  <mergeCells count="18">
    <mergeCell ref="J6:J7"/>
    <mergeCell ref="O6:O7"/>
    <mergeCell ref="T6:T7"/>
    <mergeCell ref="U6:U7"/>
    <mergeCell ref="V6:V7"/>
    <mergeCell ref="W6:W7"/>
    <mergeCell ref="A1:W3"/>
    <mergeCell ref="A4:W4"/>
    <mergeCell ref="A5:B5"/>
    <mergeCell ref="C5:W5"/>
    <mergeCell ref="E6:H6"/>
    <mergeCell ref="K6:N6"/>
    <mergeCell ref="P6:S6"/>
    <mergeCell ref="A6:A7"/>
    <mergeCell ref="B6:B7"/>
    <mergeCell ref="C6:C7"/>
    <mergeCell ref="D6:D7"/>
    <mergeCell ref="I6:I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N3"/>
    </sheetView>
  </sheetViews>
  <sheetFormatPr defaultRowHeight="1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>
      <c r="A4" s="47" t="s">
        <v>844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>
      <c r="A5" s="46" t="s">
        <v>131</v>
      </c>
      <c r="B5" s="46" t="s">
        <v>21</v>
      </c>
      <c r="C5" s="46" t="s">
        <v>135</v>
      </c>
      <c r="D5" s="46" t="s">
        <v>137</v>
      </c>
      <c r="E5" s="46" t="s">
        <v>139</v>
      </c>
      <c r="F5" s="46" t="s">
        <v>845</v>
      </c>
      <c r="G5" s="46" t="s">
        <v>846</v>
      </c>
      <c r="H5" s="46" t="s">
        <v>847</v>
      </c>
      <c r="I5" s="46"/>
      <c r="J5" s="46"/>
      <c r="K5" s="46"/>
      <c r="L5" s="46" t="s">
        <v>144</v>
      </c>
      <c r="M5" s="46" t="s">
        <v>848</v>
      </c>
      <c r="N5" s="46" t="s">
        <v>849</v>
      </c>
    </row>
    <row r="6" spans="1:14">
      <c r="A6" s="46"/>
      <c r="B6" s="46"/>
      <c r="C6" s="46"/>
      <c r="D6" s="46"/>
      <c r="E6" s="46"/>
      <c r="F6" s="46"/>
      <c r="G6" s="46"/>
      <c r="H6" s="11" t="s">
        <v>307</v>
      </c>
      <c r="I6" s="11" t="s">
        <v>308</v>
      </c>
      <c r="J6" s="11" t="s">
        <v>309</v>
      </c>
      <c r="K6" s="11" t="s">
        <v>310</v>
      </c>
      <c r="L6" s="46"/>
      <c r="M6" s="46"/>
      <c r="N6" s="4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defaultRowHeight="1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>
      <c r="A4" s="47" t="s">
        <v>850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17">
      <c r="A5" s="48" t="s">
        <v>770</v>
      </c>
      <c r="B5" s="48"/>
      <c r="C5" s="48"/>
      <c r="D5" s="49" t="s">
        <v>771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r="6" spans="1:17">
      <c r="A6" s="46" t="s">
        <v>135</v>
      </c>
      <c r="B6" s="46" t="s">
        <v>851</v>
      </c>
      <c r="C6" s="46" t="s">
        <v>106</v>
      </c>
      <c r="D6" s="46" t="s">
        <v>131</v>
      </c>
      <c r="E6" s="46" t="s">
        <v>21</v>
      </c>
      <c r="F6" s="46" t="s">
        <v>135</v>
      </c>
      <c r="G6" s="46" t="s">
        <v>137</v>
      </c>
      <c r="H6" s="46" t="s">
        <v>139</v>
      </c>
      <c r="I6" s="46" t="s">
        <v>845</v>
      </c>
      <c r="J6" s="46" t="s">
        <v>846</v>
      </c>
      <c r="K6" s="46" t="s">
        <v>847</v>
      </c>
      <c r="L6" s="46"/>
      <c r="M6" s="46"/>
      <c r="N6" s="46"/>
      <c r="O6" s="46" t="s">
        <v>144</v>
      </c>
      <c r="P6" s="46" t="s">
        <v>848</v>
      </c>
      <c r="Q6" s="46" t="s">
        <v>849</v>
      </c>
    </row>
    <row r="7" spans="1:17">
      <c r="A7" s="46"/>
      <c r="B7" s="46"/>
      <c r="C7" s="46"/>
      <c r="D7" s="46"/>
      <c r="E7" s="46"/>
      <c r="F7" s="46"/>
      <c r="G7" s="46"/>
      <c r="H7" s="46"/>
      <c r="I7" s="46"/>
      <c r="J7" s="46"/>
      <c r="K7" s="11" t="s">
        <v>307</v>
      </c>
      <c r="L7" s="11" t="s">
        <v>308</v>
      </c>
      <c r="M7" s="11" t="s">
        <v>309</v>
      </c>
      <c r="N7" s="11" t="s">
        <v>310</v>
      </c>
      <c r="O7" s="46"/>
      <c r="P7" s="46"/>
      <c r="Q7" s="46"/>
    </row>
  </sheetData>
  <mergeCells count="18">
    <mergeCell ref="H6:H7"/>
    <mergeCell ref="I6:I7"/>
    <mergeCell ref="J6:J7"/>
    <mergeCell ref="O6:O7"/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selection sqref="A1:H3"/>
    </sheetView>
  </sheetViews>
  <sheetFormatPr defaultRowHeight="1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</cols>
  <sheetData>
    <row r="1" spans="1:8">
      <c r="A1" s="28" t="s">
        <v>0</v>
      </c>
      <c r="B1" s="28"/>
      <c r="C1" s="28"/>
      <c r="D1" s="28"/>
      <c r="E1" s="28"/>
      <c r="F1" s="28"/>
      <c r="G1" s="28"/>
      <c r="H1" s="28"/>
    </row>
    <row r="2" spans="1:8">
      <c r="A2" s="28"/>
      <c r="B2" s="28"/>
      <c r="C2" s="28"/>
      <c r="D2" s="28"/>
      <c r="E2" s="28"/>
      <c r="F2" s="28"/>
      <c r="G2" s="28"/>
      <c r="H2" s="28"/>
    </row>
    <row r="3" spans="1:8">
      <c r="A3" s="28"/>
      <c r="B3" s="28"/>
      <c r="C3" s="28"/>
      <c r="D3" s="28"/>
      <c r="E3" s="28"/>
      <c r="F3" s="28"/>
      <c r="G3" s="28"/>
      <c r="H3" s="28"/>
    </row>
    <row r="4" spans="1:8">
      <c r="A4" s="47" t="s">
        <v>160</v>
      </c>
      <c r="B4" s="47"/>
      <c r="C4" s="47"/>
      <c r="D4" s="47"/>
      <c r="E4" s="47"/>
      <c r="F4" s="47"/>
      <c r="G4" s="47"/>
      <c r="H4" s="47"/>
    </row>
    <row r="5" spans="1:8">
      <c r="A5" s="46" t="s">
        <v>852</v>
      </c>
      <c r="B5" s="46" t="s">
        <v>163</v>
      </c>
      <c r="C5" s="46" t="s">
        <v>853</v>
      </c>
      <c r="D5" s="46"/>
      <c r="E5" s="46"/>
      <c r="F5" s="46" t="s">
        <v>854</v>
      </c>
      <c r="G5" s="46"/>
      <c r="H5" s="46" t="s">
        <v>168</v>
      </c>
    </row>
    <row r="6" spans="1:8">
      <c r="A6" s="46"/>
      <c r="B6" s="46"/>
      <c r="C6" s="11" t="s">
        <v>855</v>
      </c>
      <c r="D6" s="11" t="s">
        <v>856</v>
      </c>
      <c r="E6" s="11" t="s">
        <v>857</v>
      </c>
      <c r="F6" s="11" t="s">
        <v>307</v>
      </c>
      <c r="G6" s="11" t="s">
        <v>310</v>
      </c>
      <c r="H6" s="46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workbookViewId="0">
      <selection sqref="A1:J3"/>
    </sheetView>
  </sheetViews>
  <sheetFormatPr defaultRowHeight="1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</cols>
  <sheetData>
    <row r="1" spans="1:10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A2" s="28"/>
      <c r="B2" s="28"/>
      <c r="C2" s="28"/>
      <c r="D2" s="28"/>
      <c r="E2" s="28"/>
      <c r="F2" s="28"/>
      <c r="G2" s="28"/>
      <c r="H2" s="28"/>
      <c r="I2" s="28"/>
      <c r="J2" s="28"/>
    </row>
    <row r="3" spans="1:10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0">
      <c r="A4" s="47" t="s">
        <v>175</v>
      </c>
      <c r="B4" s="47"/>
      <c r="C4" s="47"/>
      <c r="D4" s="47"/>
      <c r="E4" s="47"/>
      <c r="F4" s="47"/>
      <c r="G4" s="47"/>
      <c r="H4" s="47"/>
      <c r="I4" s="47"/>
      <c r="J4" s="47"/>
    </row>
    <row r="5" spans="1:10">
      <c r="A5" s="46" t="s">
        <v>20</v>
      </c>
      <c r="B5" s="46" t="s">
        <v>21</v>
      </c>
      <c r="C5" s="46" t="s">
        <v>852</v>
      </c>
      <c r="D5" s="46" t="s">
        <v>163</v>
      </c>
      <c r="E5" s="46" t="s">
        <v>853</v>
      </c>
      <c r="F5" s="46"/>
      <c r="G5" s="46"/>
      <c r="H5" s="46" t="s">
        <v>854</v>
      </c>
      <c r="I5" s="46"/>
      <c r="J5" s="46" t="s">
        <v>168</v>
      </c>
    </row>
    <row r="6" spans="1:10">
      <c r="A6" s="46"/>
      <c r="B6" s="46"/>
      <c r="C6" s="46"/>
      <c r="D6" s="46"/>
      <c r="E6" s="11" t="s">
        <v>855</v>
      </c>
      <c r="F6" s="11" t="s">
        <v>856</v>
      </c>
      <c r="G6" s="11" t="s">
        <v>857</v>
      </c>
      <c r="H6" s="11" t="s">
        <v>307</v>
      </c>
      <c r="I6" s="11" t="s">
        <v>310</v>
      </c>
      <c r="J6" s="46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6"/>
  <sheetViews>
    <sheetView workbookViewId="0">
      <selection sqref="A1:U3"/>
    </sheetView>
  </sheetViews>
  <sheetFormatPr defaultRowHeight="15"/>
  <cols>
    <col min="1" max="2" width="20" customWidth="1"/>
    <col min="3" max="3" width="16.85546875" customWidth="1"/>
    <col min="4" max="5" width="15.85546875" customWidth="1"/>
    <col min="6" max="15" width="20" customWidth="1"/>
    <col min="16" max="16" width="35" customWidth="1"/>
    <col min="17" max="21" width="20" customWidth="1"/>
  </cols>
  <sheetData>
    <row r="1" spans="1:2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1:21">
      <c r="A4" s="47" t="s">
        <v>181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</row>
    <row r="5" spans="1:21">
      <c r="A5" s="46" t="s">
        <v>20</v>
      </c>
      <c r="B5" s="46" t="s">
        <v>21</v>
      </c>
      <c r="C5" s="46" t="s">
        <v>300</v>
      </c>
      <c r="D5" s="46"/>
      <c r="E5" s="46"/>
      <c r="F5" s="46"/>
      <c r="G5" s="46" t="s">
        <v>30</v>
      </c>
      <c r="H5" s="46" t="s">
        <v>301</v>
      </c>
      <c r="I5" s="46" t="s">
        <v>302</v>
      </c>
      <c r="J5" s="46" t="s">
        <v>303</v>
      </c>
      <c r="K5" s="46"/>
      <c r="L5" s="46"/>
      <c r="M5" s="46"/>
      <c r="N5" s="46" t="s">
        <v>176</v>
      </c>
      <c r="O5" s="46" t="s">
        <v>177</v>
      </c>
      <c r="P5" s="46" t="s">
        <v>47</v>
      </c>
      <c r="Q5" s="46" t="s">
        <v>49</v>
      </c>
      <c r="R5" s="46" t="s">
        <v>51</v>
      </c>
      <c r="S5" s="46" t="s">
        <v>53</v>
      </c>
      <c r="T5" s="46" t="s">
        <v>55</v>
      </c>
      <c r="U5" s="46" t="s">
        <v>304</v>
      </c>
    </row>
    <row r="6" spans="1:21">
      <c r="A6" s="46"/>
      <c r="B6" s="46"/>
      <c r="C6" s="11" t="s">
        <v>23</v>
      </c>
      <c r="D6" s="11" t="s">
        <v>24</v>
      </c>
      <c r="E6" s="11" t="s">
        <v>305</v>
      </c>
      <c r="F6" s="11" t="s">
        <v>306</v>
      </c>
      <c r="G6" s="46"/>
      <c r="H6" s="46"/>
      <c r="I6" s="46"/>
      <c r="J6" s="11" t="s">
        <v>307</v>
      </c>
      <c r="K6" s="11" t="s">
        <v>308</v>
      </c>
      <c r="L6" s="11" t="s">
        <v>309</v>
      </c>
      <c r="M6" s="11" t="s">
        <v>310</v>
      </c>
      <c r="N6" s="46"/>
      <c r="O6" s="46"/>
      <c r="P6" s="46"/>
      <c r="Q6" s="46"/>
      <c r="R6" s="46"/>
      <c r="S6" s="46"/>
      <c r="T6" s="46"/>
      <c r="U6" s="46"/>
    </row>
  </sheetData>
  <mergeCells count="17">
    <mergeCell ref="S5:S6"/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7"/>
  <sheetViews>
    <sheetView workbookViewId="0">
      <selection sqref="A1:T3"/>
    </sheetView>
  </sheetViews>
  <sheetFormatPr defaultRowHeight="1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17" width="15.5703125" customWidth="1"/>
    <col min="18" max="18" width="20" customWidth="1"/>
    <col min="19" max="19" width="35" customWidth="1"/>
    <col min="20" max="20" width="20" customWidth="1"/>
  </cols>
  <sheetData>
    <row r="1" spans="1:20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0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3" spans="1:20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>
      <c r="A4" s="47" t="s">
        <v>187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</row>
    <row r="5" spans="1:20">
      <c r="A5" s="48" t="s">
        <v>770</v>
      </c>
      <c r="B5" s="48"/>
      <c r="C5" s="49" t="s">
        <v>771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</row>
    <row r="6" spans="1:20">
      <c r="A6" s="46" t="s">
        <v>23</v>
      </c>
      <c r="B6" s="46" t="s">
        <v>305</v>
      </c>
      <c r="C6" s="46" t="s">
        <v>20</v>
      </c>
      <c r="D6" s="46" t="s">
        <v>21</v>
      </c>
      <c r="E6" s="46" t="s">
        <v>300</v>
      </c>
      <c r="F6" s="46"/>
      <c r="G6" s="46"/>
      <c r="H6" s="46"/>
      <c r="I6" s="46" t="s">
        <v>30</v>
      </c>
      <c r="J6" s="46" t="s">
        <v>301</v>
      </c>
      <c r="K6" s="46" t="s">
        <v>302</v>
      </c>
      <c r="L6" s="46" t="s">
        <v>303</v>
      </c>
      <c r="M6" s="46"/>
      <c r="N6" s="46"/>
      <c r="O6" s="46"/>
      <c r="P6" s="46" t="s">
        <v>176</v>
      </c>
      <c r="Q6" s="46" t="s">
        <v>177</v>
      </c>
      <c r="R6" s="46" t="s">
        <v>47</v>
      </c>
      <c r="S6" s="46" t="s">
        <v>49</v>
      </c>
      <c r="T6" s="46" t="s">
        <v>51</v>
      </c>
    </row>
    <row r="7" spans="1:20">
      <c r="A7" s="46"/>
      <c r="B7" s="46"/>
      <c r="C7" s="46"/>
      <c r="D7" s="46"/>
      <c r="E7" s="11" t="s">
        <v>23</v>
      </c>
      <c r="F7" s="11" t="s">
        <v>24</v>
      </c>
      <c r="G7" s="11" t="s">
        <v>305</v>
      </c>
      <c r="H7" s="11" t="s">
        <v>306</v>
      </c>
      <c r="I7" s="46"/>
      <c r="J7" s="46"/>
      <c r="K7" s="46"/>
      <c r="L7" s="11" t="s">
        <v>307</v>
      </c>
      <c r="M7" s="11" t="s">
        <v>308</v>
      </c>
      <c r="N7" s="11" t="s">
        <v>309</v>
      </c>
      <c r="O7" s="11" t="s">
        <v>310</v>
      </c>
      <c r="P7" s="46"/>
      <c r="Q7" s="46"/>
      <c r="R7" s="46"/>
      <c r="S7" s="46"/>
      <c r="T7" s="46"/>
    </row>
  </sheetData>
  <mergeCells count="18">
    <mergeCell ref="K6:K7"/>
    <mergeCell ref="P6:P7"/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6"/>
  <sheetViews>
    <sheetView workbookViewId="0">
      <selection sqref="A1:V3"/>
    </sheetView>
  </sheetViews>
  <sheetFormatPr defaultRowHeight="15"/>
  <cols>
    <col min="1" max="2" width="20" customWidth="1"/>
    <col min="3" max="6" width="15.85546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>
      <c r="A4" s="47" t="s">
        <v>858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>
      <c r="A5" s="46" t="s">
        <v>20</v>
      </c>
      <c r="B5" s="46" t="s">
        <v>21</v>
      </c>
      <c r="C5" s="46" t="s">
        <v>859</v>
      </c>
      <c r="D5" s="46"/>
      <c r="E5" s="46"/>
      <c r="F5" s="46"/>
      <c r="G5" s="46"/>
      <c r="H5" s="46" t="s">
        <v>30</v>
      </c>
      <c r="I5" s="46" t="s">
        <v>301</v>
      </c>
      <c r="J5" s="46" t="s">
        <v>302</v>
      </c>
      <c r="K5" s="46" t="s">
        <v>303</v>
      </c>
      <c r="L5" s="46"/>
      <c r="M5" s="46"/>
      <c r="N5" s="46"/>
      <c r="O5" s="46" t="s">
        <v>176</v>
      </c>
      <c r="P5" s="46" t="s">
        <v>177</v>
      </c>
      <c r="Q5" s="46" t="s">
        <v>47</v>
      </c>
      <c r="R5" s="46" t="s">
        <v>49</v>
      </c>
      <c r="S5" s="46" t="s">
        <v>51</v>
      </c>
      <c r="T5" s="46" t="s">
        <v>53</v>
      </c>
      <c r="U5" s="46" t="s">
        <v>55</v>
      </c>
      <c r="V5" s="46" t="s">
        <v>304</v>
      </c>
    </row>
    <row r="6" spans="1:22">
      <c r="A6" s="46"/>
      <c r="B6" s="46"/>
      <c r="C6" s="11" t="s">
        <v>80</v>
      </c>
      <c r="D6" s="11" t="s">
        <v>82</v>
      </c>
      <c r="E6" s="11" t="s">
        <v>775</v>
      </c>
      <c r="F6" s="11" t="s">
        <v>86</v>
      </c>
      <c r="G6" s="11" t="s">
        <v>776</v>
      </c>
      <c r="H6" s="46"/>
      <c r="I6" s="46"/>
      <c r="J6" s="46"/>
      <c r="K6" s="11" t="s">
        <v>307</v>
      </c>
      <c r="L6" s="11" t="s">
        <v>308</v>
      </c>
      <c r="M6" s="11" t="s">
        <v>309</v>
      </c>
      <c r="N6" s="11" t="s">
        <v>310</v>
      </c>
      <c r="O6" s="46"/>
      <c r="P6" s="46"/>
      <c r="Q6" s="46"/>
      <c r="R6" s="46"/>
      <c r="S6" s="46"/>
      <c r="T6" s="46"/>
      <c r="U6" s="46"/>
      <c r="V6" s="46"/>
    </row>
  </sheetData>
  <mergeCells count="17">
    <mergeCell ref="T5:T6"/>
    <mergeCell ref="U5:U6"/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7"/>
  <sheetViews>
    <sheetView workbookViewId="0">
      <selection sqref="A1:V3"/>
    </sheetView>
  </sheetViews>
  <sheetFormatPr defaultRowHeight="1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3">
      <c r="A4" s="47" t="s">
        <v>860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3">
      <c r="A5" s="48" t="s">
        <v>770</v>
      </c>
      <c r="B5" s="48"/>
      <c r="C5" s="48"/>
      <c r="D5" s="49" t="s">
        <v>771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</row>
    <row r="6" spans="1:23">
      <c r="A6" s="46" t="s">
        <v>82</v>
      </c>
      <c r="B6" s="46" t="s">
        <v>80</v>
      </c>
      <c r="C6" s="46" t="s">
        <v>86</v>
      </c>
      <c r="D6" s="46" t="s">
        <v>20</v>
      </c>
      <c r="E6" s="46" t="s">
        <v>21</v>
      </c>
      <c r="F6" s="46" t="s">
        <v>859</v>
      </c>
      <c r="G6" s="46"/>
      <c r="H6" s="46"/>
      <c r="I6" s="46"/>
      <c r="J6" s="46"/>
      <c r="K6" s="46" t="s">
        <v>30</v>
      </c>
      <c r="L6" s="46" t="s">
        <v>301</v>
      </c>
      <c r="M6" s="46" t="s">
        <v>861</v>
      </c>
      <c r="N6" s="46" t="s">
        <v>302</v>
      </c>
      <c r="O6" s="46"/>
      <c r="P6" s="46"/>
      <c r="Q6" s="46"/>
      <c r="R6" s="46" t="s">
        <v>303</v>
      </c>
      <c r="S6" s="46" t="s">
        <v>176</v>
      </c>
      <c r="T6" s="46" t="s">
        <v>177</v>
      </c>
      <c r="U6" s="46" t="s">
        <v>47</v>
      </c>
      <c r="V6" s="46" t="s">
        <v>49</v>
      </c>
      <c r="W6" s="46" t="s">
        <v>51</v>
      </c>
    </row>
    <row r="7" spans="1:23">
      <c r="A7" s="46"/>
      <c r="B7" s="46"/>
      <c r="C7" s="46"/>
      <c r="D7" s="46"/>
      <c r="E7" s="46"/>
      <c r="F7" s="11" t="s">
        <v>80</v>
      </c>
      <c r="G7" s="11" t="s">
        <v>82</v>
      </c>
      <c r="H7" s="11" t="s">
        <v>775</v>
      </c>
      <c r="I7" s="11" t="s">
        <v>86</v>
      </c>
      <c r="J7" s="11" t="s">
        <v>776</v>
      </c>
      <c r="K7" s="46"/>
      <c r="L7" s="46"/>
      <c r="M7" s="46"/>
      <c r="N7" s="11" t="s">
        <v>307</v>
      </c>
      <c r="O7" s="11" t="s">
        <v>308</v>
      </c>
      <c r="P7" s="11" t="s">
        <v>309</v>
      </c>
      <c r="Q7" s="11" t="s">
        <v>310</v>
      </c>
      <c r="R7" s="46"/>
      <c r="S7" s="46"/>
      <c r="T7" s="46"/>
      <c r="U7" s="46"/>
      <c r="V7" s="46"/>
      <c r="W7" s="46"/>
    </row>
  </sheetData>
  <mergeCells count="20"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6"/>
  <sheetViews>
    <sheetView workbookViewId="0">
      <selection sqref="A1:S3"/>
    </sheetView>
  </sheetViews>
  <sheetFormatPr defaultRowHeight="15"/>
  <cols>
    <col min="1" max="2" width="20" customWidth="1"/>
    <col min="3" max="3" width="16.85546875" customWidth="1"/>
    <col min="4" max="5" width="15.85546875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>
      <c r="A4" s="47" t="s">
        <v>199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>
      <c r="A5" s="46" t="s">
        <v>20</v>
      </c>
      <c r="B5" s="46" t="s">
        <v>21</v>
      </c>
      <c r="C5" s="46" t="s">
        <v>300</v>
      </c>
      <c r="D5" s="46"/>
      <c r="E5" s="46"/>
      <c r="F5" s="46"/>
      <c r="G5" s="46" t="s">
        <v>30</v>
      </c>
      <c r="H5" s="46" t="s">
        <v>302</v>
      </c>
      <c r="I5" s="46" t="s">
        <v>303</v>
      </c>
      <c r="J5" s="46"/>
      <c r="K5" s="46"/>
      <c r="L5" s="46"/>
      <c r="M5" s="46" t="s">
        <v>194</v>
      </c>
      <c r="N5" s="46" t="s">
        <v>43</v>
      </c>
      <c r="O5" s="46" t="s">
        <v>45</v>
      </c>
      <c r="P5" s="46" t="s">
        <v>51</v>
      </c>
      <c r="Q5" s="46" t="s">
        <v>53</v>
      </c>
      <c r="R5" s="46" t="s">
        <v>55</v>
      </c>
      <c r="S5" s="46" t="s">
        <v>304</v>
      </c>
    </row>
    <row r="6" spans="1:19">
      <c r="A6" s="46"/>
      <c r="B6" s="46"/>
      <c r="C6" s="11" t="s">
        <v>23</v>
      </c>
      <c r="D6" s="11" t="s">
        <v>24</v>
      </c>
      <c r="E6" s="11" t="s">
        <v>305</v>
      </c>
      <c r="F6" s="11" t="s">
        <v>306</v>
      </c>
      <c r="G6" s="46"/>
      <c r="H6" s="46"/>
      <c r="I6" s="11" t="s">
        <v>307</v>
      </c>
      <c r="J6" s="11" t="s">
        <v>308</v>
      </c>
      <c r="K6" s="11" t="s">
        <v>309</v>
      </c>
      <c r="L6" s="11" t="s">
        <v>310</v>
      </c>
      <c r="M6" s="46"/>
      <c r="N6" s="46"/>
      <c r="O6" s="46"/>
      <c r="P6" s="46"/>
      <c r="Q6" s="46"/>
      <c r="R6" s="46"/>
      <c r="S6" s="4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7"/>
  <sheetViews>
    <sheetView workbookViewId="0">
      <selection sqref="A1:R3"/>
    </sheetView>
  </sheetViews>
  <sheetFormatPr defaultRowHeight="15"/>
  <cols>
    <col min="1" max="2" width="14.140625" customWidth="1"/>
    <col min="3" max="4" width="20" customWidth="1"/>
    <col min="5" max="5" width="15.85546875" customWidth="1"/>
    <col min="6" max="6" width="17" customWidth="1"/>
    <col min="7" max="7" width="15.85546875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>
      <c r="A4" s="47" t="s">
        <v>201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</row>
    <row r="5" spans="1:18">
      <c r="A5" s="48" t="s">
        <v>770</v>
      </c>
      <c r="B5" s="48"/>
      <c r="C5" s="49" t="s">
        <v>771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</row>
    <row r="6" spans="1:18">
      <c r="A6" s="46" t="s">
        <v>23</v>
      </c>
      <c r="B6" s="46" t="s">
        <v>305</v>
      </c>
      <c r="C6" s="46" t="s">
        <v>20</v>
      </c>
      <c r="D6" s="46" t="s">
        <v>21</v>
      </c>
      <c r="E6" s="46" t="s">
        <v>300</v>
      </c>
      <c r="F6" s="46"/>
      <c r="G6" s="46"/>
      <c r="H6" s="46"/>
      <c r="I6" s="46" t="s">
        <v>30</v>
      </c>
      <c r="J6" s="46" t="s">
        <v>302</v>
      </c>
      <c r="K6" s="46" t="s">
        <v>303</v>
      </c>
      <c r="L6" s="46"/>
      <c r="M6" s="46"/>
      <c r="N6" s="46"/>
      <c r="O6" s="46" t="s">
        <v>194</v>
      </c>
      <c r="P6" s="46" t="s">
        <v>43</v>
      </c>
      <c r="Q6" s="46" t="s">
        <v>45</v>
      </c>
      <c r="R6" s="46" t="s">
        <v>51</v>
      </c>
    </row>
    <row r="7" spans="1:18">
      <c r="A7" s="46"/>
      <c r="B7" s="46"/>
      <c r="C7" s="46"/>
      <c r="D7" s="46"/>
      <c r="E7" s="11" t="s">
        <v>23</v>
      </c>
      <c r="F7" s="11" t="s">
        <v>24</v>
      </c>
      <c r="G7" s="11" t="s">
        <v>305</v>
      </c>
      <c r="H7" s="11" t="s">
        <v>306</v>
      </c>
      <c r="I7" s="46"/>
      <c r="J7" s="46"/>
      <c r="K7" s="11" t="s">
        <v>307</v>
      </c>
      <c r="L7" s="11" t="s">
        <v>308</v>
      </c>
      <c r="M7" s="11" t="s">
        <v>309</v>
      </c>
      <c r="N7" s="11" t="s">
        <v>310</v>
      </c>
      <c r="O7" s="46"/>
      <c r="P7" s="46"/>
      <c r="Q7" s="46"/>
      <c r="R7" s="4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6"/>
  <sheetViews>
    <sheetView workbookViewId="0">
      <selection sqref="A1:T3"/>
    </sheetView>
  </sheetViews>
  <sheetFormatPr defaultRowHeight="15"/>
  <cols>
    <col min="1" max="2" width="20" customWidth="1"/>
    <col min="3" max="6" width="15.85546875" customWidth="1"/>
    <col min="7" max="13" width="20" customWidth="1"/>
    <col min="14" max="14" width="35" customWidth="1"/>
    <col min="15" max="20" width="20" customWidth="1"/>
  </cols>
  <sheetData>
    <row r="1" spans="1:20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0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3" spans="1:20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>
      <c r="A4" s="47" t="s">
        <v>203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</row>
    <row r="5" spans="1:20">
      <c r="A5" s="46" t="s">
        <v>20</v>
      </c>
      <c r="B5" s="46" t="s">
        <v>21</v>
      </c>
      <c r="C5" s="46" t="s">
        <v>774</v>
      </c>
      <c r="D5" s="46"/>
      <c r="E5" s="46"/>
      <c r="F5" s="46"/>
      <c r="G5" s="46"/>
      <c r="H5" s="46" t="s">
        <v>30</v>
      </c>
      <c r="I5" s="46" t="s">
        <v>302</v>
      </c>
      <c r="J5" s="46" t="s">
        <v>303</v>
      </c>
      <c r="K5" s="46"/>
      <c r="L5" s="46"/>
      <c r="M5" s="46"/>
      <c r="N5" s="46" t="s">
        <v>194</v>
      </c>
      <c r="O5" s="46" t="s">
        <v>43</v>
      </c>
      <c r="P5" s="46" t="s">
        <v>45</v>
      </c>
      <c r="Q5" s="46" t="s">
        <v>51</v>
      </c>
      <c r="R5" s="46" t="s">
        <v>53</v>
      </c>
      <c r="S5" s="46" t="s">
        <v>55</v>
      </c>
      <c r="T5" s="46" t="s">
        <v>304</v>
      </c>
    </row>
    <row r="6" spans="1:20">
      <c r="A6" s="46"/>
      <c r="B6" s="46"/>
      <c r="C6" s="11" t="s">
        <v>80</v>
      </c>
      <c r="D6" s="11" t="s">
        <v>82</v>
      </c>
      <c r="E6" s="11" t="s">
        <v>775</v>
      </c>
      <c r="F6" s="11" t="s">
        <v>86</v>
      </c>
      <c r="G6" s="11" t="s">
        <v>776</v>
      </c>
      <c r="H6" s="46"/>
      <c r="I6" s="46"/>
      <c r="J6" s="11" t="s">
        <v>307</v>
      </c>
      <c r="K6" s="11" t="s">
        <v>308</v>
      </c>
      <c r="L6" s="11" t="s">
        <v>309</v>
      </c>
      <c r="M6" s="11" t="s">
        <v>310</v>
      </c>
      <c r="N6" s="46"/>
      <c r="O6" s="46"/>
      <c r="P6" s="46"/>
      <c r="Q6" s="46"/>
      <c r="R6" s="46"/>
      <c r="S6" s="46"/>
      <c r="T6" s="4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7"/>
  <sheetViews>
    <sheetView workbookViewId="0">
      <selection sqref="A1:T3"/>
    </sheetView>
  </sheetViews>
  <sheetFormatPr defaultRowHeight="15"/>
  <cols>
    <col min="1" max="5" width="20" customWidth="1"/>
    <col min="6" max="9" width="15.85546875" customWidth="1"/>
    <col min="10" max="16" width="20" customWidth="1"/>
    <col min="17" max="17" width="35" customWidth="1"/>
    <col min="18" max="20" width="20" customWidth="1"/>
  </cols>
  <sheetData>
    <row r="1" spans="1:20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0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3" spans="1:20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>
      <c r="A4" s="47" t="s">
        <v>207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</row>
    <row r="5" spans="1:20">
      <c r="A5" s="48" t="s">
        <v>770</v>
      </c>
      <c r="B5" s="48"/>
      <c r="C5" s="48"/>
      <c r="D5" s="49" t="s">
        <v>771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</row>
    <row r="6" spans="1:20">
      <c r="A6" s="46" t="s">
        <v>82</v>
      </c>
      <c r="B6" s="46" t="s">
        <v>80</v>
      </c>
      <c r="C6" s="46" t="s">
        <v>86</v>
      </c>
      <c r="D6" s="46" t="s">
        <v>20</v>
      </c>
      <c r="E6" s="46" t="s">
        <v>21</v>
      </c>
      <c r="F6" s="46" t="s">
        <v>774</v>
      </c>
      <c r="G6" s="46"/>
      <c r="H6" s="46"/>
      <c r="I6" s="46"/>
      <c r="J6" s="46"/>
      <c r="K6" s="46" t="s">
        <v>30</v>
      </c>
      <c r="L6" s="46" t="s">
        <v>302</v>
      </c>
      <c r="M6" s="46" t="s">
        <v>303</v>
      </c>
      <c r="N6" s="46"/>
      <c r="O6" s="46"/>
      <c r="P6" s="46"/>
      <c r="Q6" s="46" t="s">
        <v>194</v>
      </c>
      <c r="R6" s="46" t="s">
        <v>43</v>
      </c>
      <c r="S6" s="46" t="s">
        <v>45</v>
      </c>
      <c r="T6" s="46" t="s">
        <v>51</v>
      </c>
    </row>
    <row r="7" spans="1:20">
      <c r="A7" s="46"/>
      <c r="B7" s="46"/>
      <c r="C7" s="46"/>
      <c r="D7" s="46"/>
      <c r="E7" s="46"/>
      <c r="F7" s="11" t="s">
        <v>80</v>
      </c>
      <c r="G7" s="11" t="s">
        <v>82</v>
      </c>
      <c r="H7" s="11" t="s">
        <v>775</v>
      </c>
      <c r="I7" s="11" t="s">
        <v>86</v>
      </c>
      <c r="J7" s="11" t="s">
        <v>776</v>
      </c>
      <c r="K7" s="46"/>
      <c r="L7" s="46"/>
      <c r="M7" s="11" t="s">
        <v>307</v>
      </c>
      <c r="N7" s="11" t="s">
        <v>308</v>
      </c>
      <c r="O7" s="11" t="s">
        <v>309</v>
      </c>
      <c r="P7" s="11" t="s">
        <v>310</v>
      </c>
      <c r="Q7" s="46"/>
      <c r="R7" s="46"/>
      <c r="S7" s="46"/>
      <c r="T7" s="46"/>
    </row>
  </sheetData>
  <mergeCells count="17">
    <mergeCell ref="R6:R7"/>
    <mergeCell ref="S6:S7"/>
    <mergeCell ref="T6:T7"/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6"/>
  <sheetViews>
    <sheetView workbookViewId="0">
      <selection sqref="A1:R3"/>
    </sheetView>
  </sheetViews>
  <sheetFormatPr defaultRowHeight="15"/>
  <cols>
    <col min="1" max="2" width="20" customWidth="1"/>
    <col min="3" max="3" width="16.85546875" customWidth="1"/>
    <col min="4" max="4" width="18" customWidth="1"/>
    <col min="5" max="5" width="15.85546875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>
      <c r="A4" s="47" t="s">
        <v>209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</row>
    <row r="5" spans="1:18">
      <c r="A5" s="46" t="s">
        <v>100</v>
      </c>
      <c r="B5" s="46" t="s">
        <v>21</v>
      </c>
      <c r="C5" s="46" t="s">
        <v>840</v>
      </c>
      <c r="D5" s="46"/>
      <c r="E5" s="46"/>
      <c r="F5" s="46"/>
      <c r="G5" s="46" t="s">
        <v>30</v>
      </c>
      <c r="H5" s="46" t="s">
        <v>841</v>
      </c>
      <c r="I5" s="46" t="s">
        <v>842</v>
      </c>
      <c r="J5" s="46"/>
      <c r="K5" s="46"/>
      <c r="L5" s="46"/>
      <c r="M5" s="46" t="s">
        <v>194</v>
      </c>
      <c r="N5" s="46" t="s">
        <v>111</v>
      </c>
      <c r="O5" s="46" t="s">
        <v>113</v>
      </c>
      <c r="P5" s="46" t="s">
        <v>53</v>
      </c>
      <c r="Q5" s="46" t="s">
        <v>55</v>
      </c>
      <c r="R5" s="46" t="s">
        <v>304</v>
      </c>
    </row>
    <row r="6" spans="1:18">
      <c r="A6" s="46"/>
      <c r="B6" s="46"/>
      <c r="C6" s="11" t="s">
        <v>103</v>
      </c>
      <c r="D6" s="11" t="s">
        <v>104</v>
      </c>
      <c r="E6" s="11" t="s">
        <v>106</v>
      </c>
      <c r="F6" s="11" t="s">
        <v>843</v>
      </c>
      <c r="G6" s="46"/>
      <c r="H6" s="46"/>
      <c r="I6" s="11" t="s">
        <v>307</v>
      </c>
      <c r="J6" s="11" t="s">
        <v>308</v>
      </c>
      <c r="K6" s="11" t="s">
        <v>309</v>
      </c>
      <c r="L6" s="11" t="s">
        <v>310</v>
      </c>
      <c r="M6" s="46"/>
      <c r="N6" s="46"/>
      <c r="O6" s="46"/>
      <c r="P6" s="46"/>
      <c r="Q6" s="46"/>
      <c r="R6" s="4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7"/>
  <sheetViews>
    <sheetView workbookViewId="0">
      <selection sqref="A1:Q3"/>
    </sheetView>
  </sheetViews>
  <sheetFormatPr defaultRowHeight="1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5" width="35" customWidth="1"/>
    <col min="16" max="17" width="20" customWidth="1"/>
  </cols>
  <sheetData>
    <row r="1" spans="1:17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>
      <c r="A4" s="47" t="s">
        <v>862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17">
      <c r="A5" s="48" t="s">
        <v>770</v>
      </c>
      <c r="B5" s="48"/>
      <c r="C5" s="49" t="s">
        <v>771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r="6" spans="1:17">
      <c r="A6" s="46" t="s">
        <v>103</v>
      </c>
      <c r="B6" s="46" t="s">
        <v>106</v>
      </c>
      <c r="C6" s="46" t="s">
        <v>100</v>
      </c>
      <c r="D6" s="46" t="s">
        <v>21</v>
      </c>
      <c r="E6" s="46" t="s">
        <v>840</v>
      </c>
      <c r="F6" s="46"/>
      <c r="G6" s="46"/>
      <c r="H6" s="46"/>
      <c r="I6" s="46" t="s">
        <v>30</v>
      </c>
      <c r="J6" s="46" t="s">
        <v>841</v>
      </c>
      <c r="K6" s="46" t="s">
        <v>842</v>
      </c>
      <c r="L6" s="46"/>
      <c r="M6" s="46"/>
      <c r="N6" s="46"/>
      <c r="O6" s="46" t="s">
        <v>194</v>
      </c>
      <c r="P6" s="46" t="s">
        <v>111</v>
      </c>
      <c r="Q6" s="46" t="s">
        <v>113</v>
      </c>
    </row>
    <row r="7" spans="1:17">
      <c r="A7" s="46"/>
      <c r="B7" s="46"/>
      <c r="C7" s="46"/>
      <c r="D7" s="46"/>
      <c r="E7" s="11" t="s">
        <v>103</v>
      </c>
      <c r="F7" s="11" t="s">
        <v>104</v>
      </c>
      <c r="G7" s="11" t="s">
        <v>106</v>
      </c>
      <c r="H7" s="11" t="s">
        <v>843</v>
      </c>
      <c r="I7" s="46"/>
      <c r="J7" s="46"/>
      <c r="K7" s="11" t="s">
        <v>307</v>
      </c>
      <c r="L7" s="11" t="s">
        <v>308</v>
      </c>
      <c r="M7" s="11" t="s">
        <v>309</v>
      </c>
      <c r="N7" s="11" t="s">
        <v>310</v>
      </c>
      <c r="O7" s="46"/>
      <c r="P7" s="46"/>
      <c r="Q7" s="4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6"/>
  <sheetViews>
    <sheetView workbookViewId="0">
      <selection sqref="A1:M3"/>
    </sheetView>
  </sheetViews>
  <sheetFormatPr defaultRowHeight="1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>
      <c r="A4" s="47" t="s">
        <v>863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3">
      <c r="A5" s="46" t="s">
        <v>131</v>
      </c>
      <c r="B5" s="46" t="s">
        <v>21</v>
      </c>
      <c r="C5" s="46" t="s">
        <v>135</v>
      </c>
      <c r="D5" s="46" t="s">
        <v>137</v>
      </c>
      <c r="E5" s="46" t="s">
        <v>139</v>
      </c>
      <c r="F5" s="46" t="s">
        <v>845</v>
      </c>
      <c r="G5" s="46" t="s">
        <v>846</v>
      </c>
      <c r="H5" s="46" t="s">
        <v>847</v>
      </c>
      <c r="I5" s="46"/>
      <c r="J5" s="46"/>
      <c r="K5" s="46"/>
      <c r="L5" s="46" t="s">
        <v>144</v>
      </c>
      <c r="M5" s="46" t="s">
        <v>848</v>
      </c>
    </row>
    <row r="6" spans="1:13">
      <c r="A6" s="46"/>
      <c r="B6" s="46"/>
      <c r="C6" s="46"/>
      <c r="D6" s="46"/>
      <c r="E6" s="46"/>
      <c r="F6" s="46"/>
      <c r="G6" s="46"/>
      <c r="H6" s="11" t="s">
        <v>307</v>
      </c>
      <c r="I6" s="11" t="s">
        <v>308</v>
      </c>
      <c r="J6" s="11" t="s">
        <v>309</v>
      </c>
      <c r="K6" s="11" t="s">
        <v>310</v>
      </c>
      <c r="L6" s="46"/>
      <c r="M6" s="4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7"/>
  <sheetViews>
    <sheetView workbookViewId="0">
      <selection sqref="A1:P3"/>
    </sheetView>
  </sheetViews>
  <sheetFormatPr defaultRowHeight="1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>
      <c r="A4" s="47" t="s">
        <v>864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</row>
    <row r="5" spans="1:16">
      <c r="A5" s="48" t="s">
        <v>770</v>
      </c>
      <c r="B5" s="48"/>
      <c r="C5" s="48"/>
      <c r="D5" s="49" t="s">
        <v>771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>
      <c r="A6" s="46" t="s">
        <v>135</v>
      </c>
      <c r="B6" s="46" t="s">
        <v>851</v>
      </c>
      <c r="C6" s="46" t="s">
        <v>106</v>
      </c>
      <c r="D6" s="46" t="s">
        <v>131</v>
      </c>
      <c r="E6" s="46" t="s">
        <v>21</v>
      </c>
      <c r="F6" s="46" t="s">
        <v>135</v>
      </c>
      <c r="G6" s="46" t="s">
        <v>137</v>
      </c>
      <c r="H6" s="46" t="s">
        <v>139</v>
      </c>
      <c r="I6" s="46" t="s">
        <v>845</v>
      </c>
      <c r="J6" s="46" t="s">
        <v>846</v>
      </c>
      <c r="K6" s="46" t="s">
        <v>847</v>
      </c>
      <c r="L6" s="46"/>
      <c r="M6" s="46"/>
      <c r="N6" s="46"/>
      <c r="O6" s="46" t="s">
        <v>144</v>
      </c>
      <c r="P6" s="46" t="s">
        <v>848</v>
      </c>
    </row>
    <row r="7" spans="1:16">
      <c r="A7" s="46"/>
      <c r="B7" s="46"/>
      <c r="C7" s="46"/>
      <c r="D7" s="46"/>
      <c r="E7" s="46"/>
      <c r="F7" s="46"/>
      <c r="G7" s="46"/>
      <c r="H7" s="46"/>
      <c r="I7" s="46"/>
      <c r="J7" s="46"/>
      <c r="K7" s="11" t="s">
        <v>307</v>
      </c>
      <c r="L7" s="11" t="s">
        <v>308</v>
      </c>
      <c r="M7" s="11" t="s">
        <v>309</v>
      </c>
      <c r="N7" s="11" t="s">
        <v>310</v>
      </c>
      <c r="O7" s="46"/>
      <c r="P7" s="46"/>
    </row>
  </sheetData>
  <mergeCells count="17">
    <mergeCell ref="J6:J7"/>
    <mergeCell ref="O6:O7"/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880B273A56F4FB52B9B27280D21E9" ma:contentTypeVersion="13" ma:contentTypeDescription="Create a new document." ma:contentTypeScope="" ma:versionID="2fa6b7823352b4e6014a943ac2677a7e">
  <xsd:schema xmlns:xsd="http://www.w3.org/2001/XMLSchema" xmlns:xs="http://www.w3.org/2001/XMLSchema" xmlns:p="http://schemas.microsoft.com/office/2006/metadata/properties" xmlns:ns2="16f02634-72c8-4569-8206-ecd2ebb6dcca" xmlns:ns3="fa8a0950-2bc3-4e96-839f-36c3daf25cd7" targetNamespace="http://schemas.microsoft.com/office/2006/metadata/properties" ma:root="true" ma:fieldsID="baec9907edd35aceb70eb086f72acf71" ns2:_="" ns3:_="">
    <xsd:import namespace="16f02634-72c8-4569-8206-ecd2ebb6dcca"/>
    <xsd:import namespace="fa8a0950-2bc3-4e96-839f-36c3daf25c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02634-72c8-4569-8206-ecd2ebb6dc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70451e7-54ff-44a4-9ce4-1c61d6710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a0950-2bc3-4e96-839f-36c3daf25c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2fe7f7-5a17-4ee5-8d34-1d3ccd617f31}" ma:internalName="TaxCatchAll" ma:showField="CatchAllData" ma:web="fa8a0950-2bc3-4e96-839f-36c3daf25c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a0950-2bc3-4e96-839f-36c3daf25cd7" xsi:nil="true"/>
    <lcf76f155ced4ddcb4097134ff3c332f xmlns="16f02634-72c8-4569-8206-ecd2ebb6dc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BBB2A3-EA7A-49F4-8B5C-3F9B143B91AB}"/>
</file>

<file path=customXml/itemProps2.xml><?xml version="1.0" encoding="utf-8"?>
<ds:datastoreItem xmlns:ds="http://schemas.openxmlformats.org/officeDocument/2006/customXml" ds:itemID="{652E1D2C-B627-4ECF-A7F5-32F3149CFFBB}"/>
</file>

<file path=customXml/itemProps3.xml><?xml version="1.0" encoding="utf-8"?>
<ds:datastoreItem xmlns:ds="http://schemas.openxmlformats.org/officeDocument/2006/customXml" ds:itemID="{07DCE112-9670-43BE-A0C5-0D9CE8A60C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2025-10-14T12:37:48Z</dcterms:created>
  <dcterms:modified xsi:type="dcterms:W3CDTF">2025-10-14T13:36:13Z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0x0101006BA880B273A56F4FB52B9B27280D21E9</vt:lpwstr>
  </property>
</Properties>
</file>